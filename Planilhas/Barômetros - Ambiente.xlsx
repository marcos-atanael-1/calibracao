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fileSharing readOnlyRecommended="1" userName="Caio Silva" algorithmName="SHA-512" hashValue="GjGqyz5a+ykHGhZZeBn2U/FHohMCyAUFWUOcVKN8pq+mO4In1iKmWNWsKWc/srxxN9FvKykYJ3yIjGUSfF6UAw==" saltValue="/nWXvd5qWbE3pGhh2D2spw==" spinCount="100000"/>
  <workbookPr/>
  <mc:AlternateContent xmlns:mc="http://schemas.openxmlformats.org/markup-compatibility/2006">
    <mc:Choice Requires="x15">
      <x15ac:absPath xmlns:x15ac="http://schemas.microsoft.com/office/spreadsheetml/2010/11/ac" url="T:\ELUS\Formulários\Modelo de Certificado Acreditado\Banco de dados de padrões\"/>
    </mc:Choice>
  </mc:AlternateContent>
  <xr:revisionPtr revIDLastSave="0" documentId="13_ncr:10001_{3B1115D7-9D72-4993-A160-3937086530BD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Cadastro - Padrões" sheetId="1" r:id="rId1"/>
    <sheet name="Controle" sheetId="2" r:id="rId2"/>
    <sheet name="Histórico de revisões" sheetId="4" r:id="rId3"/>
  </sheets>
  <externalReferences>
    <externalReference r:id="rId4"/>
    <externalReference r:id="rId5"/>
  </externalReferences>
  <definedNames>
    <definedName name="_Z99999" localSheetId="2">[1]Cliente!#REF!</definedName>
    <definedName name="_Z99999">[1]Cliente!#REF!</definedName>
    <definedName name="_ZZ99" localSheetId="2">[1]Cliente!#REF!</definedName>
    <definedName name="_ZZ99">[1]Cliente!#REF!</definedName>
    <definedName name="capacidade">[2]Dados!$F$11</definedName>
    <definedName name="CERTIFICADO">[1]Cliente!$Y$8</definedName>
    <definedName name="data_receb">[2]Dados!$E$7</definedName>
    <definedName name="DATA_RECEBIMENTO">[1]Cliente!#REF!</definedName>
    <definedName name="ENTRADA">[1]Cliente!#REF!</definedName>
    <definedName name="equip">[2]Dados!$C$10</definedName>
    <definedName name="n_cert">[2]Dados!$C$8</definedName>
    <definedName name="n_ident">[2]Dados!$C$13</definedName>
    <definedName name="n_serie">[2]Dados!$C$14</definedName>
    <definedName name="pressão">[2]Dados!$D$27</definedName>
    <definedName name="proced">[2]Dados!$F$13</definedName>
    <definedName name="resolução">[2]Dados!$F$10</definedName>
    <definedName name="solver_adj" hidden="1">[2]Dados!#REF!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hs1" hidden="1">[2]Dados!#REF!</definedName>
    <definedName name="solver_lhs2" hidden="1">[2]Dados!#REF!</definedName>
    <definedName name="solver_lin" hidden="1">2</definedName>
    <definedName name="solver_neg" hidden="1">2</definedName>
    <definedName name="solver_num" hidden="1">2</definedName>
    <definedName name="solver_nwt" hidden="1">1</definedName>
    <definedName name="solver_opt" hidden="1">[2]Dados!#REF!</definedName>
    <definedName name="solver_pre" hidden="1">0.000001</definedName>
    <definedName name="solver_rel1" hidden="1">2</definedName>
    <definedName name="solver_rel2" hidden="1">2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1</definedName>
    <definedName name="solver_val" hidden="1">0</definedName>
    <definedName name="temp_ar">[2]Dados!$D$25</definedName>
    <definedName name="temp_carr">#REF!</definedName>
    <definedName name="umid">[2]Dados!#REF!</definedName>
    <definedName name="unid_e">[2]Dados!$D$31</definedName>
    <definedName name="versão">[2]Dados!$F$14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7" i="1" l="1"/>
  <c r="A12" i="4"/>
  <c r="D4" i="4"/>
  <c r="A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10" i="4" l="1"/>
  <c r="A11" i="4" l="1"/>
  <c r="A14" i="4" l="1"/>
  <c r="A13" i="4"/>
  <c r="A15" i="4" l="1"/>
  <c r="A16" i="4" l="1"/>
  <c r="A17" i="4" l="1"/>
  <c r="A18" i="4" l="1"/>
  <c r="A19" i="4"/>
  <c r="A20" i="4"/>
  <c r="A21" i="4" s="1"/>
  <c r="A22" i="4" s="1"/>
  <c r="A23" i="4" s="1"/>
  <c r="A24" i="4" l="1"/>
  <c r="A25" i="4" s="1"/>
  <c r="A26" i="4" s="1"/>
  <c r="A27" i="4" s="1"/>
  <c r="A28" i="4" s="1"/>
  <c r="A29" i="4" s="1"/>
  <c r="C5" i="4" l="1"/>
  <c r="D5" i="4" l="1"/>
  <c r="F5" i="4"/>
  <c r="H597" i="1" l="1"/>
  <c r="G597" i="1"/>
  <c r="F597" i="1"/>
  <c r="D597" i="1"/>
  <c r="C597" i="1"/>
  <c r="B597" i="1"/>
  <c r="E594" i="1"/>
  <c r="G591" i="1"/>
  <c r="F591" i="1"/>
  <c r="D591" i="1"/>
  <c r="H829" i="1"/>
  <c r="G829" i="1"/>
  <c r="F829" i="1"/>
  <c r="D829" i="1"/>
  <c r="C829" i="1"/>
  <c r="B829" i="1"/>
  <c r="E826" i="1"/>
  <c r="G823" i="1"/>
  <c r="F823" i="1"/>
  <c r="D823" i="1"/>
  <c r="H945" i="1"/>
  <c r="G945" i="1"/>
  <c r="F945" i="1"/>
  <c r="D945" i="1"/>
  <c r="C945" i="1"/>
  <c r="B945" i="1"/>
  <c r="E942" i="1"/>
  <c r="G939" i="1"/>
  <c r="F939" i="1"/>
  <c r="D939" i="1"/>
  <c r="D765" i="1"/>
  <c r="H771" i="1"/>
  <c r="G771" i="1"/>
  <c r="F771" i="1"/>
  <c r="D771" i="1"/>
  <c r="C771" i="1"/>
  <c r="B771" i="1"/>
  <c r="E768" i="1"/>
  <c r="G765" i="1"/>
  <c r="D707" i="1"/>
  <c r="H713" i="1"/>
  <c r="G713" i="1"/>
  <c r="F713" i="1"/>
  <c r="D713" i="1"/>
  <c r="C713" i="1"/>
  <c r="B713" i="1"/>
  <c r="E710" i="1"/>
  <c r="G707" i="1"/>
  <c r="H307" i="1"/>
  <c r="G307" i="1"/>
  <c r="F307" i="1"/>
  <c r="D307" i="1"/>
  <c r="C307" i="1"/>
  <c r="E304" i="1"/>
  <c r="G301" i="1"/>
  <c r="F301" i="1"/>
  <c r="D301" i="1"/>
  <c r="D9" i="1"/>
  <c r="D475" i="1"/>
  <c r="H4" i="2"/>
  <c r="F765" i="1" l="1"/>
  <c r="F707" i="1"/>
  <c r="C1160" i="1"/>
  <c r="B1160" i="1"/>
  <c r="C1159" i="1"/>
  <c r="D1159" i="1" s="1"/>
  <c r="B1159" i="1"/>
  <c r="C1158" i="1"/>
  <c r="B1158" i="1"/>
  <c r="C1157" i="1"/>
  <c r="B1157" i="1"/>
  <c r="C1156" i="1"/>
  <c r="B1156" i="1"/>
  <c r="C1155" i="1"/>
  <c r="B1155" i="1"/>
  <c r="E1154" i="1"/>
  <c r="C1154" i="1"/>
  <c r="B1154" i="1"/>
  <c r="E1153" i="1"/>
  <c r="C1153" i="1"/>
  <c r="B1153" i="1"/>
  <c r="C1152" i="1"/>
  <c r="B1152" i="1"/>
  <c r="C1151" i="1"/>
  <c r="B1151" i="1"/>
  <c r="C1150" i="1"/>
  <c r="B1150" i="1"/>
  <c r="C1149" i="1"/>
  <c r="B1149" i="1"/>
  <c r="C1148" i="1"/>
  <c r="B1148" i="1"/>
  <c r="C1147" i="1"/>
  <c r="B1147" i="1"/>
  <c r="C1146" i="1"/>
  <c r="B1146" i="1"/>
  <c r="B1135" i="1"/>
  <c r="H1119" i="1"/>
  <c r="G1119" i="1"/>
  <c r="F1119" i="1"/>
  <c r="D1119" i="1"/>
  <c r="C1119" i="1"/>
  <c r="B1119" i="1"/>
  <c r="E1116" i="1"/>
  <c r="G1113" i="1"/>
  <c r="F1113" i="1"/>
  <c r="D1113" i="1"/>
  <c r="C1102" i="1"/>
  <c r="B1102" i="1"/>
  <c r="C1101" i="1"/>
  <c r="B1101" i="1"/>
  <c r="C1100" i="1"/>
  <c r="B1100" i="1"/>
  <c r="C1099" i="1"/>
  <c r="B1099" i="1"/>
  <c r="C1098" i="1"/>
  <c r="B1098" i="1"/>
  <c r="C1097" i="1"/>
  <c r="B1097" i="1"/>
  <c r="E1096" i="1"/>
  <c r="C1096" i="1"/>
  <c r="B1096" i="1"/>
  <c r="E1095" i="1"/>
  <c r="C1095" i="1"/>
  <c r="B1095" i="1"/>
  <c r="C1094" i="1"/>
  <c r="B1094" i="1"/>
  <c r="C1093" i="1"/>
  <c r="B1093" i="1"/>
  <c r="C1092" i="1"/>
  <c r="B1092" i="1"/>
  <c r="C1091" i="1"/>
  <c r="B1091" i="1"/>
  <c r="C1090" i="1"/>
  <c r="B1090" i="1"/>
  <c r="C1089" i="1"/>
  <c r="B1089" i="1"/>
  <c r="C1088" i="1"/>
  <c r="B1088" i="1"/>
  <c r="B1077" i="1"/>
  <c r="H1061" i="1"/>
  <c r="G1061" i="1"/>
  <c r="F1061" i="1"/>
  <c r="D1061" i="1"/>
  <c r="C1061" i="1"/>
  <c r="B1061" i="1"/>
  <c r="E1058" i="1"/>
  <c r="G1055" i="1"/>
  <c r="F1055" i="1"/>
  <c r="D1055" i="1"/>
  <c r="C1044" i="1"/>
  <c r="B1044" i="1"/>
  <c r="C1043" i="1"/>
  <c r="B1043" i="1"/>
  <c r="C1042" i="1"/>
  <c r="B1042" i="1"/>
  <c r="C1041" i="1"/>
  <c r="B1041" i="1"/>
  <c r="C1040" i="1"/>
  <c r="B1040" i="1"/>
  <c r="C1039" i="1"/>
  <c r="B1039" i="1"/>
  <c r="E1038" i="1"/>
  <c r="C1038" i="1"/>
  <c r="B1038" i="1"/>
  <c r="E1037" i="1"/>
  <c r="C1037" i="1"/>
  <c r="B1037" i="1"/>
  <c r="C1036" i="1"/>
  <c r="B1036" i="1"/>
  <c r="C1035" i="1"/>
  <c r="B1035" i="1"/>
  <c r="C1034" i="1"/>
  <c r="B1034" i="1"/>
  <c r="C1033" i="1"/>
  <c r="B1033" i="1"/>
  <c r="C1032" i="1"/>
  <c r="B1032" i="1"/>
  <c r="C1031" i="1"/>
  <c r="B1031" i="1"/>
  <c r="C1030" i="1"/>
  <c r="B1030" i="1"/>
  <c r="B1019" i="1"/>
  <c r="H1003" i="1"/>
  <c r="G1003" i="1"/>
  <c r="F1003" i="1"/>
  <c r="D1003" i="1"/>
  <c r="C1003" i="1"/>
  <c r="B1003" i="1"/>
  <c r="E1000" i="1"/>
  <c r="G997" i="1"/>
  <c r="F997" i="1"/>
  <c r="D997" i="1"/>
  <c r="C986" i="1"/>
  <c r="B986" i="1"/>
  <c r="C985" i="1"/>
  <c r="B985" i="1"/>
  <c r="C984" i="1"/>
  <c r="B984" i="1"/>
  <c r="C983" i="1"/>
  <c r="B983" i="1"/>
  <c r="C982" i="1"/>
  <c r="B982" i="1"/>
  <c r="C981" i="1"/>
  <c r="B981" i="1"/>
  <c r="E980" i="1"/>
  <c r="C980" i="1"/>
  <c r="B980" i="1"/>
  <c r="E979" i="1"/>
  <c r="C979" i="1"/>
  <c r="B979" i="1"/>
  <c r="C978" i="1"/>
  <c r="B978" i="1"/>
  <c r="C977" i="1"/>
  <c r="B977" i="1"/>
  <c r="C976" i="1"/>
  <c r="B976" i="1"/>
  <c r="C975" i="1"/>
  <c r="B975" i="1"/>
  <c r="C974" i="1"/>
  <c r="B974" i="1"/>
  <c r="C973" i="1"/>
  <c r="B973" i="1"/>
  <c r="C972" i="1"/>
  <c r="B972" i="1"/>
  <c r="B961" i="1"/>
  <c r="C928" i="1"/>
  <c r="B928" i="1"/>
  <c r="C927" i="1"/>
  <c r="B927" i="1"/>
  <c r="C926" i="1"/>
  <c r="B926" i="1"/>
  <c r="C925" i="1"/>
  <c r="B925" i="1"/>
  <c r="C924" i="1"/>
  <c r="B924" i="1"/>
  <c r="C923" i="1"/>
  <c r="B923" i="1"/>
  <c r="E922" i="1"/>
  <c r="C922" i="1"/>
  <c r="B922" i="1"/>
  <c r="E921" i="1"/>
  <c r="C921" i="1"/>
  <c r="B921" i="1"/>
  <c r="E920" i="1"/>
  <c r="C920" i="1"/>
  <c r="B920" i="1"/>
  <c r="C919" i="1"/>
  <c r="B919" i="1"/>
  <c r="C918" i="1"/>
  <c r="B918" i="1"/>
  <c r="C917" i="1"/>
  <c r="B917" i="1"/>
  <c r="E916" i="1"/>
  <c r="C916" i="1"/>
  <c r="B916" i="1"/>
  <c r="C915" i="1"/>
  <c r="B915" i="1"/>
  <c r="C914" i="1"/>
  <c r="B914" i="1"/>
  <c r="E912" i="1"/>
  <c r="B903" i="1"/>
  <c r="H887" i="1"/>
  <c r="G887" i="1"/>
  <c r="F887" i="1"/>
  <c r="D887" i="1"/>
  <c r="C887" i="1"/>
  <c r="B887" i="1"/>
  <c r="E884" i="1"/>
  <c r="G881" i="1"/>
  <c r="F881" i="1"/>
  <c r="D881" i="1"/>
  <c r="C870" i="1"/>
  <c r="B870" i="1"/>
  <c r="C869" i="1"/>
  <c r="B869" i="1"/>
  <c r="C868" i="1"/>
  <c r="B868" i="1"/>
  <c r="C867" i="1"/>
  <c r="B867" i="1"/>
  <c r="C866" i="1"/>
  <c r="B866" i="1"/>
  <c r="C865" i="1"/>
  <c r="B865" i="1"/>
  <c r="E864" i="1"/>
  <c r="C864" i="1"/>
  <c r="B864" i="1"/>
  <c r="E863" i="1"/>
  <c r="C863" i="1"/>
  <c r="B863" i="1"/>
  <c r="D863" i="1" s="1"/>
  <c r="C862" i="1"/>
  <c r="B862" i="1"/>
  <c r="C861" i="1"/>
  <c r="B861" i="1"/>
  <c r="C860" i="1"/>
  <c r="B860" i="1"/>
  <c r="C859" i="1"/>
  <c r="B859" i="1"/>
  <c r="C858" i="1"/>
  <c r="B858" i="1"/>
  <c r="C857" i="1"/>
  <c r="B857" i="1"/>
  <c r="C856" i="1"/>
  <c r="B856" i="1"/>
  <c r="B845" i="1"/>
  <c r="C812" i="1"/>
  <c r="B812" i="1"/>
  <c r="C811" i="1"/>
  <c r="B811" i="1"/>
  <c r="C810" i="1"/>
  <c r="B810" i="1"/>
  <c r="C809" i="1"/>
  <c r="B809" i="1"/>
  <c r="C808" i="1"/>
  <c r="B808" i="1"/>
  <c r="C807" i="1"/>
  <c r="B807" i="1"/>
  <c r="E806" i="1"/>
  <c r="C806" i="1"/>
  <c r="B806" i="1"/>
  <c r="E805" i="1"/>
  <c r="C805" i="1"/>
  <c r="B805" i="1"/>
  <c r="C804" i="1"/>
  <c r="B804" i="1"/>
  <c r="C803" i="1"/>
  <c r="B803" i="1"/>
  <c r="C802" i="1"/>
  <c r="B802" i="1"/>
  <c r="C801" i="1"/>
  <c r="B801" i="1"/>
  <c r="C800" i="1"/>
  <c r="B800" i="1"/>
  <c r="C799" i="1"/>
  <c r="B799" i="1"/>
  <c r="C798" i="1"/>
  <c r="B798" i="1"/>
  <c r="B787" i="1"/>
  <c r="C754" i="1"/>
  <c r="B754" i="1"/>
  <c r="C753" i="1"/>
  <c r="B753" i="1"/>
  <c r="C752" i="1"/>
  <c r="B752" i="1"/>
  <c r="C751" i="1"/>
  <c r="B751" i="1"/>
  <c r="C750" i="1"/>
  <c r="B750" i="1"/>
  <c r="C749" i="1"/>
  <c r="B749" i="1"/>
  <c r="E748" i="1"/>
  <c r="C748" i="1"/>
  <c r="B748" i="1"/>
  <c r="E747" i="1"/>
  <c r="E746" i="1" s="1"/>
  <c r="C747" i="1"/>
  <c r="B747" i="1"/>
  <c r="C746" i="1"/>
  <c r="B746" i="1"/>
  <c r="C745" i="1"/>
  <c r="B745" i="1"/>
  <c r="C744" i="1"/>
  <c r="B744" i="1"/>
  <c r="C743" i="1"/>
  <c r="B743" i="1"/>
  <c r="C742" i="1"/>
  <c r="B742" i="1"/>
  <c r="C741" i="1"/>
  <c r="B741" i="1"/>
  <c r="C740" i="1"/>
  <c r="B740" i="1"/>
  <c r="B729" i="1"/>
  <c r="C696" i="1"/>
  <c r="B696" i="1"/>
  <c r="C695" i="1"/>
  <c r="D695" i="1" s="1"/>
  <c r="B695" i="1"/>
  <c r="C694" i="1"/>
  <c r="B694" i="1"/>
  <c r="C693" i="1"/>
  <c r="B693" i="1"/>
  <c r="C692" i="1"/>
  <c r="B692" i="1"/>
  <c r="C691" i="1"/>
  <c r="B691" i="1"/>
  <c r="E690" i="1"/>
  <c r="E688" i="1" s="1"/>
  <c r="C690" i="1"/>
  <c r="B690" i="1"/>
  <c r="E689" i="1"/>
  <c r="C689" i="1"/>
  <c r="B689" i="1"/>
  <c r="C688" i="1"/>
  <c r="B688" i="1"/>
  <c r="C687" i="1"/>
  <c r="B687" i="1"/>
  <c r="C686" i="1"/>
  <c r="B686" i="1"/>
  <c r="C685" i="1"/>
  <c r="B685" i="1"/>
  <c r="C684" i="1"/>
  <c r="B684" i="1"/>
  <c r="C683" i="1"/>
  <c r="B683" i="1"/>
  <c r="C682" i="1"/>
  <c r="B682" i="1"/>
  <c r="B671" i="1"/>
  <c r="H655" i="1"/>
  <c r="G655" i="1"/>
  <c r="F655" i="1"/>
  <c r="D655" i="1"/>
  <c r="C655" i="1"/>
  <c r="B655" i="1"/>
  <c r="E652" i="1"/>
  <c r="G649" i="1"/>
  <c r="F649" i="1"/>
  <c r="D649" i="1"/>
  <c r="C638" i="1"/>
  <c r="B638" i="1"/>
  <c r="C637" i="1"/>
  <c r="B637" i="1"/>
  <c r="C636" i="1"/>
  <c r="B636" i="1"/>
  <c r="C635" i="1"/>
  <c r="B635" i="1"/>
  <c r="C634" i="1"/>
  <c r="B634" i="1"/>
  <c r="C633" i="1"/>
  <c r="B633" i="1"/>
  <c r="E632" i="1"/>
  <c r="C632" i="1"/>
  <c r="B632" i="1"/>
  <c r="E631" i="1"/>
  <c r="C631" i="1"/>
  <c r="B631" i="1"/>
  <c r="C630" i="1"/>
  <c r="B630" i="1"/>
  <c r="C629" i="1"/>
  <c r="B629" i="1"/>
  <c r="C628" i="1"/>
  <c r="B628" i="1"/>
  <c r="C627" i="1"/>
  <c r="B627" i="1"/>
  <c r="C626" i="1"/>
  <c r="B626" i="1"/>
  <c r="C625" i="1"/>
  <c r="B625" i="1"/>
  <c r="C624" i="1"/>
  <c r="B624" i="1"/>
  <c r="B613" i="1"/>
  <c r="C580" i="1"/>
  <c r="B580" i="1"/>
  <c r="C579" i="1"/>
  <c r="B579" i="1"/>
  <c r="C578" i="1"/>
  <c r="B578" i="1"/>
  <c r="C577" i="1"/>
  <c r="B577" i="1"/>
  <c r="C576" i="1"/>
  <c r="B576" i="1"/>
  <c r="D575" i="1"/>
  <c r="C575" i="1"/>
  <c r="B575" i="1"/>
  <c r="E574" i="1"/>
  <c r="C574" i="1"/>
  <c r="B574" i="1"/>
  <c r="E573" i="1"/>
  <c r="C573" i="1"/>
  <c r="B573" i="1"/>
  <c r="C572" i="1"/>
  <c r="B572" i="1"/>
  <c r="C571" i="1"/>
  <c r="B571" i="1"/>
  <c r="C570" i="1"/>
  <c r="B570" i="1"/>
  <c r="C569" i="1"/>
  <c r="B569" i="1"/>
  <c r="C568" i="1"/>
  <c r="B568" i="1"/>
  <c r="C567" i="1"/>
  <c r="B567" i="1"/>
  <c r="C566" i="1"/>
  <c r="B566" i="1"/>
  <c r="B555" i="1"/>
  <c r="H539" i="1"/>
  <c r="G539" i="1"/>
  <c r="F539" i="1"/>
  <c r="D539" i="1"/>
  <c r="C539" i="1"/>
  <c r="B539" i="1"/>
  <c r="E536" i="1"/>
  <c r="G533" i="1"/>
  <c r="F533" i="1"/>
  <c r="D533" i="1"/>
  <c r="C522" i="1"/>
  <c r="B522" i="1"/>
  <c r="C521" i="1"/>
  <c r="B521" i="1"/>
  <c r="C520" i="1"/>
  <c r="B520" i="1"/>
  <c r="C519" i="1"/>
  <c r="B519" i="1"/>
  <c r="C518" i="1"/>
  <c r="B518" i="1"/>
  <c r="C517" i="1"/>
  <c r="B517" i="1"/>
  <c r="E516" i="1"/>
  <c r="E514" i="1" s="1"/>
  <c r="C516" i="1"/>
  <c r="B516" i="1"/>
  <c r="E515" i="1"/>
  <c r="C515" i="1"/>
  <c r="B515" i="1"/>
  <c r="C514" i="1"/>
  <c r="B514" i="1"/>
  <c r="C513" i="1"/>
  <c r="B513" i="1"/>
  <c r="C512" i="1"/>
  <c r="B512" i="1"/>
  <c r="C511" i="1"/>
  <c r="B511" i="1"/>
  <c r="C510" i="1"/>
  <c r="B510" i="1"/>
  <c r="C509" i="1"/>
  <c r="B509" i="1"/>
  <c r="C508" i="1"/>
  <c r="B508" i="1"/>
  <c r="B497" i="1"/>
  <c r="H481" i="1"/>
  <c r="G481" i="1"/>
  <c r="F481" i="1"/>
  <c r="D481" i="1"/>
  <c r="C481" i="1"/>
  <c r="B481" i="1"/>
  <c r="E478" i="1"/>
  <c r="G475" i="1"/>
  <c r="F475" i="1"/>
  <c r="C464" i="1"/>
  <c r="B464" i="1"/>
  <c r="C463" i="1"/>
  <c r="B463" i="1"/>
  <c r="C462" i="1"/>
  <c r="B462" i="1"/>
  <c r="C461" i="1"/>
  <c r="B461" i="1"/>
  <c r="C460" i="1"/>
  <c r="B460" i="1"/>
  <c r="D460" i="1" s="1"/>
  <c r="C459" i="1"/>
  <c r="B459" i="1"/>
  <c r="E458" i="1"/>
  <c r="C458" i="1"/>
  <c r="B458" i="1"/>
  <c r="E457" i="1"/>
  <c r="C457" i="1"/>
  <c r="B457" i="1"/>
  <c r="C456" i="1"/>
  <c r="B456" i="1"/>
  <c r="C455" i="1"/>
  <c r="B455" i="1"/>
  <c r="C454" i="1"/>
  <c r="B454" i="1"/>
  <c r="D454" i="1" s="1"/>
  <c r="C453" i="1"/>
  <c r="B453" i="1"/>
  <c r="C452" i="1"/>
  <c r="B452" i="1"/>
  <c r="C451" i="1"/>
  <c r="B451" i="1"/>
  <c r="C450" i="1"/>
  <c r="B450" i="1"/>
  <c r="B439" i="1"/>
  <c r="H423" i="1"/>
  <c r="G423" i="1"/>
  <c r="F423" i="1"/>
  <c r="D423" i="1"/>
  <c r="C423" i="1"/>
  <c r="B423" i="1"/>
  <c r="E420" i="1"/>
  <c r="G417" i="1"/>
  <c r="F417" i="1"/>
  <c r="D417" i="1"/>
  <c r="C406" i="1"/>
  <c r="B406" i="1"/>
  <c r="C405" i="1"/>
  <c r="B405" i="1"/>
  <c r="C404" i="1"/>
  <c r="B404" i="1"/>
  <c r="C403" i="1"/>
  <c r="B403" i="1"/>
  <c r="C402" i="1"/>
  <c r="B402" i="1"/>
  <c r="C401" i="1"/>
  <c r="B401" i="1"/>
  <c r="E400" i="1"/>
  <c r="C400" i="1"/>
  <c r="B400" i="1"/>
  <c r="E399" i="1"/>
  <c r="C399" i="1"/>
  <c r="B399" i="1"/>
  <c r="C398" i="1"/>
  <c r="B398" i="1"/>
  <c r="C397" i="1"/>
  <c r="B397" i="1"/>
  <c r="C396" i="1"/>
  <c r="B396" i="1"/>
  <c r="C395" i="1"/>
  <c r="B395" i="1"/>
  <c r="C394" i="1"/>
  <c r="B394" i="1"/>
  <c r="C393" i="1"/>
  <c r="B393" i="1"/>
  <c r="C392" i="1"/>
  <c r="B392" i="1"/>
  <c r="B381" i="1"/>
  <c r="H365" i="1"/>
  <c r="G365" i="1"/>
  <c r="F365" i="1"/>
  <c r="D365" i="1"/>
  <c r="C365" i="1"/>
  <c r="B365" i="1"/>
  <c r="E362" i="1"/>
  <c r="G359" i="1"/>
  <c r="F359" i="1"/>
  <c r="D359" i="1"/>
  <c r="C348" i="1"/>
  <c r="B348" i="1"/>
  <c r="C347" i="1"/>
  <c r="B347" i="1"/>
  <c r="C346" i="1"/>
  <c r="B346" i="1"/>
  <c r="C345" i="1"/>
  <c r="B345" i="1"/>
  <c r="C344" i="1"/>
  <c r="B344" i="1"/>
  <c r="C343" i="1"/>
  <c r="B343" i="1"/>
  <c r="E342" i="1"/>
  <c r="C342" i="1"/>
  <c r="B342" i="1"/>
  <c r="E341" i="1"/>
  <c r="C341" i="1"/>
  <c r="B341" i="1"/>
  <c r="C340" i="1"/>
  <c r="B340" i="1"/>
  <c r="C339" i="1"/>
  <c r="B339" i="1"/>
  <c r="C338" i="1"/>
  <c r="B338" i="1"/>
  <c r="C337" i="1"/>
  <c r="B337" i="1"/>
  <c r="C336" i="1"/>
  <c r="B336" i="1"/>
  <c r="C335" i="1"/>
  <c r="B335" i="1"/>
  <c r="C334" i="1"/>
  <c r="B334" i="1"/>
  <c r="B323" i="1"/>
  <c r="C290" i="1"/>
  <c r="B290" i="1"/>
  <c r="C289" i="1"/>
  <c r="B289" i="1"/>
  <c r="C288" i="1"/>
  <c r="B288" i="1"/>
  <c r="C287" i="1"/>
  <c r="B287" i="1"/>
  <c r="C286" i="1"/>
  <c r="B286" i="1"/>
  <c r="C285" i="1"/>
  <c r="B285" i="1"/>
  <c r="E284" i="1"/>
  <c r="C284" i="1"/>
  <c r="B284" i="1"/>
  <c r="E283" i="1"/>
  <c r="C283" i="1"/>
  <c r="B283" i="1"/>
  <c r="C282" i="1"/>
  <c r="B282" i="1"/>
  <c r="C281" i="1"/>
  <c r="B281" i="1"/>
  <c r="C280" i="1"/>
  <c r="B280" i="1"/>
  <c r="C279" i="1"/>
  <c r="B279" i="1"/>
  <c r="C278" i="1"/>
  <c r="B278" i="1"/>
  <c r="C277" i="1"/>
  <c r="B277" i="1"/>
  <c r="C276" i="1"/>
  <c r="B276" i="1"/>
  <c r="B265" i="1"/>
  <c r="H249" i="1"/>
  <c r="G249" i="1"/>
  <c r="F249" i="1"/>
  <c r="D249" i="1"/>
  <c r="C249" i="1"/>
  <c r="B249" i="1"/>
  <c r="E246" i="1"/>
  <c r="G243" i="1"/>
  <c r="F243" i="1"/>
  <c r="D243" i="1"/>
  <c r="C232" i="1"/>
  <c r="B232" i="1"/>
  <c r="C231" i="1"/>
  <c r="B231" i="1"/>
  <c r="C230" i="1"/>
  <c r="B230" i="1"/>
  <c r="C229" i="1"/>
  <c r="B229" i="1"/>
  <c r="C228" i="1"/>
  <c r="B228" i="1"/>
  <c r="C227" i="1"/>
  <c r="B227" i="1"/>
  <c r="E226" i="1"/>
  <c r="E224" i="1" s="1"/>
  <c r="C226" i="1"/>
  <c r="B226" i="1"/>
  <c r="E225" i="1"/>
  <c r="C225" i="1"/>
  <c r="B225" i="1"/>
  <c r="C224" i="1"/>
  <c r="B224" i="1"/>
  <c r="C223" i="1"/>
  <c r="B223" i="1"/>
  <c r="C222" i="1"/>
  <c r="B222" i="1"/>
  <c r="C221" i="1"/>
  <c r="B221" i="1"/>
  <c r="C220" i="1"/>
  <c r="B220" i="1"/>
  <c r="C219" i="1"/>
  <c r="B219" i="1"/>
  <c r="C218" i="1"/>
  <c r="B218" i="1"/>
  <c r="B207" i="1"/>
  <c r="H191" i="1"/>
  <c r="G191" i="1"/>
  <c r="F191" i="1"/>
  <c r="D191" i="1"/>
  <c r="C191" i="1"/>
  <c r="B191" i="1"/>
  <c r="E188" i="1"/>
  <c r="G185" i="1"/>
  <c r="F185" i="1"/>
  <c r="D185" i="1"/>
  <c r="C174" i="1"/>
  <c r="B174" i="1"/>
  <c r="C173" i="1"/>
  <c r="B173" i="1"/>
  <c r="C172" i="1"/>
  <c r="B172" i="1"/>
  <c r="C171" i="1"/>
  <c r="D171" i="1" s="1"/>
  <c r="B171" i="1"/>
  <c r="C170" i="1"/>
  <c r="B170" i="1"/>
  <c r="C169" i="1"/>
  <c r="B169" i="1"/>
  <c r="E168" i="1"/>
  <c r="C168" i="1"/>
  <c r="B168" i="1"/>
  <c r="E167" i="1"/>
  <c r="C167" i="1"/>
  <c r="B167" i="1"/>
  <c r="C166" i="1"/>
  <c r="B166" i="1"/>
  <c r="C165" i="1"/>
  <c r="B165" i="1"/>
  <c r="C164" i="1"/>
  <c r="B164" i="1"/>
  <c r="C163" i="1"/>
  <c r="B163" i="1"/>
  <c r="C162" i="1"/>
  <c r="B162" i="1"/>
  <c r="C161" i="1"/>
  <c r="B161" i="1"/>
  <c r="C160" i="1"/>
  <c r="B160" i="1"/>
  <c r="B149" i="1"/>
  <c r="H133" i="1"/>
  <c r="G133" i="1"/>
  <c r="F133" i="1"/>
  <c r="D133" i="1"/>
  <c r="C133" i="1"/>
  <c r="B133" i="1"/>
  <c r="E130" i="1"/>
  <c r="G127" i="1"/>
  <c r="F127" i="1"/>
  <c r="D127" i="1"/>
  <c r="C116" i="1"/>
  <c r="B116" i="1"/>
  <c r="C115" i="1"/>
  <c r="B115" i="1"/>
  <c r="C114" i="1"/>
  <c r="B114" i="1"/>
  <c r="C113" i="1"/>
  <c r="B113" i="1"/>
  <c r="C112" i="1"/>
  <c r="B112" i="1"/>
  <c r="C111" i="1"/>
  <c r="B111" i="1"/>
  <c r="E110" i="1"/>
  <c r="C110" i="1"/>
  <c r="B110" i="1"/>
  <c r="E109" i="1"/>
  <c r="C109" i="1"/>
  <c r="B109" i="1"/>
  <c r="C108" i="1"/>
  <c r="B108" i="1"/>
  <c r="C107" i="1"/>
  <c r="B107" i="1"/>
  <c r="C106" i="1"/>
  <c r="B106" i="1"/>
  <c r="C105" i="1"/>
  <c r="B105" i="1"/>
  <c r="C104" i="1"/>
  <c r="B104" i="1"/>
  <c r="C103" i="1"/>
  <c r="B103" i="1"/>
  <c r="C102" i="1"/>
  <c r="B102" i="1"/>
  <c r="B91" i="1"/>
  <c r="H75" i="1"/>
  <c r="G75" i="1"/>
  <c r="F75" i="1"/>
  <c r="D75" i="1"/>
  <c r="C75" i="1"/>
  <c r="B75" i="1"/>
  <c r="E72" i="1"/>
  <c r="G69" i="1"/>
  <c r="F69" i="1"/>
  <c r="D69" i="1"/>
  <c r="C58" i="1"/>
  <c r="B58" i="1"/>
  <c r="C57" i="1"/>
  <c r="B57" i="1"/>
  <c r="C56" i="1"/>
  <c r="B56" i="1"/>
  <c r="C55" i="1"/>
  <c r="B55" i="1"/>
  <c r="C54" i="1"/>
  <c r="B54" i="1"/>
  <c r="C53" i="1"/>
  <c r="B53" i="1"/>
  <c r="E52" i="1"/>
  <c r="C52" i="1"/>
  <c r="B52" i="1"/>
  <c r="E51" i="1"/>
  <c r="C51" i="1"/>
  <c r="B51" i="1"/>
  <c r="C50" i="1"/>
  <c r="B50" i="1"/>
  <c r="C49" i="1"/>
  <c r="B49" i="1"/>
  <c r="C48" i="1"/>
  <c r="B48" i="1"/>
  <c r="C47" i="1"/>
  <c r="B47" i="1"/>
  <c r="C46" i="1"/>
  <c r="B46" i="1"/>
  <c r="C45" i="1"/>
  <c r="B45" i="1"/>
  <c r="C44" i="1"/>
  <c r="B44" i="1"/>
  <c r="B33" i="1"/>
  <c r="H17" i="1"/>
  <c r="G17" i="1"/>
  <c r="F17" i="1"/>
  <c r="D17" i="1"/>
  <c r="C17" i="1"/>
  <c r="B17" i="1"/>
  <c r="E14" i="1"/>
  <c r="G11" i="1"/>
  <c r="F11" i="1"/>
  <c r="D11" i="1"/>
  <c r="C1" i="1"/>
  <c r="D1" i="1" s="1"/>
  <c r="E1" i="1" s="1"/>
  <c r="F1" i="1" s="1"/>
  <c r="G1" i="1" s="1"/>
  <c r="H1" i="1" s="1"/>
  <c r="D402" i="1" l="1"/>
  <c r="D108" i="1"/>
  <c r="D289" i="1"/>
  <c r="D518" i="1"/>
  <c r="D578" i="1"/>
  <c r="D1043" i="1"/>
  <c r="D174" i="1"/>
  <c r="D290" i="1"/>
  <c r="D579" i="1"/>
  <c r="E804" i="1"/>
  <c r="D1099" i="1"/>
  <c r="D1154" i="1"/>
  <c r="D113" i="1"/>
  <c r="D463" i="1"/>
  <c r="D53" i="1"/>
  <c r="D516" i="1"/>
  <c r="D857" i="1"/>
  <c r="D576" i="1"/>
  <c r="D685" i="1"/>
  <c r="D696" i="1"/>
  <c r="D112" i="1"/>
  <c r="D462" i="1"/>
  <c r="E456" i="1"/>
  <c r="D691" i="1"/>
  <c r="D918" i="1"/>
  <c r="E1036" i="1"/>
  <c r="D461" i="1"/>
  <c r="E862" i="1"/>
  <c r="E398" i="1"/>
  <c r="D459" i="1"/>
  <c r="E978" i="1"/>
  <c r="D1039" i="1"/>
  <c r="D694" i="1"/>
  <c r="D225" i="1"/>
  <c r="D51" i="1"/>
  <c r="E108" i="1"/>
  <c r="D116" i="1"/>
  <c r="D455" i="1"/>
  <c r="D570" i="1"/>
  <c r="D862" i="1"/>
  <c r="D864" i="1"/>
  <c r="E572" i="1"/>
  <c r="E1152" i="1"/>
  <c r="D1146" i="1"/>
  <c r="E50" i="1"/>
  <c r="D807" i="1"/>
  <c r="D800" i="1"/>
  <c r="D741" i="1"/>
  <c r="D751" i="1"/>
  <c r="D749" i="1"/>
  <c r="D346" i="1"/>
  <c r="E282" i="1"/>
  <c r="D107" i="1"/>
  <c r="D569" i="1"/>
  <c r="D510" i="1"/>
  <c r="D1091" i="1"/>
  <c r="E1094" i="1"/>
  <c r="D1092" i="1"/>
  <c r="D103" i="1"/>
  <c r="D111" i="1"/>
  <c r="D114" i="1"/>
  <c r="D229" i="1"/>
  <c r="D1030" i="1"/>
  <c r="D1096" i="1"/>
  <c r="D172" i="1"/>
  <c r="D522" i="1"/>
  <c r="D631" i="1"/>
  <c r="D633" i="1"/>
  <c r="D1155" i="1"/>
  <c r="D1151" i="1"/>
  <c r="D110" i="1"/>
  <c r="D173" i="1"/>
  <c r="D288" i="1"/>
  <c r="D406" i="1"/>
  <c r="D456" i="1"/>
  <c r="D515" i="1"/>
  <c r="D637" i="1"/>
  <c r="D809" i="1"/>
  <c r="D812" i="1"/>
  <c r="D286" i="1"/>
  <c r="D580" i="1"/>
  <c r="D802" i="1"/>
  <c r="D861" i="1"/>
  <c r="D975" i="1"/>
  <c r="D980" i="1"/>
  <c r="D48" i="1"/>
  <c r="E340" i="1"/>
  <c r="E685" i="1"/>
  <c r="D682" i="1"/>
  <c r="D337" i="1"/>
  <c r="E630" i="1"/>
  <c r="D509" i="1"/>
  <c r="D626" i="1"/>
  <c r="D625" i="1"/>
  <c r="D450" i="1"/>
  <c r="D219" i="1"/>
  <c r="D220" i="1"/>
  <c r="D46" i="1"/>
  <c r="D44" i="1"/>
  <c r="D115" i="1"/>
  <c r="D47" i="1"/>
  <c r="D342" i="1"/>
  <c r="D457" i="1"/>
  <c r="D627" i="1"/>
  <c r="D747" i="1"/>
  <c r="D919" i="1"/>
  <c r="D55" i="1"/>
  <c r="D810" i="1"/>
  <c r="D923" i="1"/>
  <c r="D982" i="1"/>
  <c r="D54" i="1"/>
  <c r="D58" i="1"/>
  <c r="D170" i="1"/>
  <c r="D451" i="1"/>
  <c r="D686" i="1"/>
  <c r="D692" i="1"/>
  <c r="D858" i="1"/>
  <c r="D1147" i="1"/>
  <c r="D276" i="1"/>
  <c r="D287" i="1"/>
  <c r="D464" i="1"/>
  <c r="D1090" i="1"/>
  <c r="D45" i="1"/>
  <c r="D49" i="1"/>
  <c r="D52" i="1"/>
  <c r="D227" i="1"/>
  <c r="D231" i="1"/>
  <c r="E279" i="1"/>
  <c r="D281" i="1"/>
  <c r="D400" i="1"/>
  <c r="D519" i="1"/>
  <c r="D571" i="1"/>
  <c r="D577" i="1"/>
  <c r="D632" i="1"/>
  <c r="D687" i="1"/>
  <c r="D690" i="1"/>
  <c r="D742" i="1"/>
  <c r="E917" i="1"/>
  <c r="D976" i="1"/>
  <c r="D1035" i="1"/>
  <c r="D1038" i="1"/>
  <c r="D1152" i="1"/>
  <c r="D224" i="1"/>
  <c r="E166" i="1"/>
  <c r="D221" i="1"/>
  <c r="D341" i="1"/>
  <c r="D746" i="1"/>
  <c r="E801" i="1"/>
  <c r="D811" i="1"/>
  <c r="D914" i="1"/>
  <c r="D983" i="1"/>
  <c r="D106" i="1"/>
  <c r="D572" i="1"/>
  <c r="D630" i="1"/>
  <c r="D753" i="1"/>
  <c r="D808" i="1"/>
  <c r="D1036" i="1"/>
  <c r="D1097" i="1"/>
  <c r="D403" i="1"/>
  <c r="D635" i="1"/>
  <c r="D693" i="1"/>
  <c r="D745" i="1"/>
  <c r="D57" i="1"/>
  <c r="D169" i="1"/>
  <c r="D285" i="1"/>
  <c r="D338" i="1"/>
  <c r="E569" i="1"/>
  <c r="E802" i="1"/>
  <c r="D984" i="1"/>
  <c r="D1150" i="1"/>
  <c r="D1153" i="1"/>
  <c r="D1160" i="1"/>
  <c r="D162" i="1"/>
  <c r="D50" i="1"/>
  <c r="D56" i="1"/>
  <c r="D458" i="1"/>
  <c r="D514" i="1"/>
  <c r="D568" i="1"/>
  <c r="E686" i="1"/>
  <c r="D744" i="1"/>
  <c r="D805" i="1"/>
  <c r="D927" i="1"/>
  <c r="D981" i="1"/>
  <c r="E1034" i="1"/>
  <c r="D1148" i="1"/>
  <c r="E48" i="1"/>
  <c r="D395" i="1"/>
  <c r="D508" i="1"/>
  <c r="D985" i="1"/>
  <c r="D1100" i="1"/>
  <c r="E106" i="1"/>
  <c r="D511" i="1"/>
  <c r="E1150" i="1"/>
  <c r="D226" i="1"/>
  <c r="D684" i="1"/>
  <c r="D748" i="1"/>
  <c r="D803" i="1"/>
  <c r="D806" i="1"/>
  <c r="D986" i="1"/>
  <c r="D1034" i="1"/>
  <c r="D1101" i="1"/>
  <c r="D393" i="1"/>
  <c r="D566" i="1"/>
  <c r="D974" i="1"/>
  <c r="D1031" i="1"/>
  <c r="D1037" i="1"/>
  <c r="D1098" i="1"/>
  <c r="E454" i="1"/>
  <c r="E570" i="1"/>
  <c r="D740" i="1"/>
  <c r="D801" i="1"/>
  <c r="D804" i="1"/>
  <c r="D859" i="1"/>
  <c r="D1102" i="1"/>
  <c r="D105" i="1"/>
  <c r="D284" i="1"/>
  <c r="D344" i="1"/>
  <c r="D348" i="1"/>
  <c r="D394" i="1"/>
  <c r="D688" i="1"/>
  <c r="D743" i="1"/>
  <c r="D798" i="1"/>
  <c r="D920" i="1"/>
  <c r="D1032" i="1"/>
  <c r="D396" i="1"/>
  <c r="D398" i="1"/>
  <c r="D399" i="1"/>
  <c r="D392" i="1"/>
  <c r="D336" i="1"/>
  <c r="D335" i="1"/>
  <c r="D334" i="1"/>
  <c r="D283" i="1"/>
  <c r="D282" i="1"/>
  <c r="D280" i="1"/>
  <c r="D278" i="1"/>
  <c r="D279" i="1"/>
  <c r="D109" i="1"/>
  <c r="D104" i="1"/>
  <c r="D102" i="1"/>
  <c r="D160" i="1"/>
  <c r="E164" i="1"/>
  <c r="D163" i="1"/>
  <c r="D165" i="1"/>
  <c r="D166" i="1"/>
  <c r="D161" i="1"/>
  <c r="D164" i="1"/>
  <c r="E105" i="1"/>
  <c r="D340" i="1"/>
  <c r="D345" i="1"/>
  <c r="D397" i="1"/>
  <c r="D404" i="1"/>
  <c r="D517" i="1"/>
  <c r="D629" i="1"/>
  <c r="E47" i="1"/>
  <c r="E163" i="1"/>
  <c r="E222" i="1"/>
  <c r="E221" i="1"/>
  <c r="D222" i="1"/>
  <c r="D228" i="1"/>
  <c r="D230" i="1"/>
  <c r="D232" i="1"/>
  <c r="D339" i="1"/>
  <c r="D452" i="1"/>
  <c r="E280" i="1"/>
  <c r="D223" i="1"/>
  <c r="D277" i="1"/>
  <c r="D343" i="1"/>
  <c r="D347" i="1"/>
  <c r="D401" i="1"/>
  <c r="D513" i="1"/>
  <c r="D520" i="1"/>
  <c r="D167" i="1"/>
  <c r="D168" i="1"/>
  <c r="D218" i="1"/>
  <c r="E338" i="1"/>
  <c r="E337" i="1"/>
  <c r="D405" i="1"/>
  <c r="E453" i="1"/>
  <c r="D512" i="1"/>
  <c r="D521" i="1"/>
  <c r="E918" i="1"/>
  <c r="D453" i="1"/>
  <c r="D567" i="1"/>
  <c r="E628" i="1"/>
  <c r="E627" i="1"/>
  <c r="D628" i="1"/>
  <c r="D634" i="1"/>
  <c r="D636" i="1"/>
  <c r="D638" i="1"/>
  <c r="D683" i="1"/>
  <c r="D750" i="1"/>
  <c r="D752" i="1"/>
  <c r="D754" i="1"/>
  <c r="D799" i="1"/>
  <c r="E396" i="1"/>
  <c r="E395" i="1"/>
  <c r="E512" i="1"/>
  <c r="E511" i="1"/>
  <c r="D573" i="1"/>
  <c r="D574" i="1"/>
  <c r="D624" i="1"/>
  <c r="D689" i="1"/>
  <c r="E744" i="1"/>
  <c r="E860" i="1"/>
  <c r="D856" i="1"/>
  <c r="E859" i="1"/>
  <c r="D860" i="1"/>
  <c r="D866" i="1"/>
  <c r="D868" i="1"/>
  <c r="D870" i="1"/>
  <c r="D915" i="1"/>
  <c r="E743" i="1"/>
  <c r="D921" i="1"/>
  <c r="D922" i="1"/>
  <c r="D865" i="1"/>
  <c r="D867" i="1"/>
  <c r="D869" i="1"/>
  <c r="D916" i="1"/>
  <c r="D917" i="1"/>
  <c r="D926" i="1"/>
  <c r="E976" i="1"/>
  <c r="D973" i="1"/>
  <c r="D978" i="1"/>
  <c r="D979" i="1"/>
  <c r="E1033" i="1"/>
  <c r="D1033" i="1"/>
  <c r="D1042" i="1"/>
  <c r="E1092" i="1"/>
  <c r="D1089" i="1"/>
  <c r="D1094" i="1"/>
  <c r="D1095" i="1"/>
  <c r="E1149" i="1"/>
  <c r="D1149" i="1"/>
  <c r="D1158" i="1"/>
  <c r="D925" i="1"/>
  <c r="D972" i="1"/>
  <c r="E975" i="1"/>
  <c r="D1041" i="1"/>
  <c r="D1088" i="1"/>
  <c r="E1091" i="1"/>
  <c r="D1157" i="1"/>
  <c r="D924" i="1"/>
  <c r="D928" i="1"/>
  <c r="D977" i="1"/>
  <c r="D1040" i="1"/>
  <c r="D1044" i="1"/>
  <c r="D1093" i="1"/>
  <c r="D1156" i="1"/>
  <c r="O1158" i="1" a="1"/>
  <c r="N1154" i="1" a="1"/>
  <c r="P1156" i="1" s="1"/>
  <c r="M1150" i="1" a="1"/>
  <c r="M1152" i="1" s="1"/>
  <c r="M1146" i="1" a="1"/>
  <c r="M1148" i="1" s="1"/>
  <c r="M1142" i="1" a="1"/>
  <c r="P1144" i="1" s="1"/>
  <c r="M1138" i="1" a="1"/>
  <c r="M1140" i="1" s="1"/>
  <c r="M1134" i="1" a="1"/>
  <c r="M1130" i="1" a="1"/>
  <c r="P1132" i="1" s="1"/>
  <c r="M1126" i="1" a="1"/>
  <c r="M1128" i="1" s="1"/>
  <c r="M1122" i="1" a="1"/>
  <c r="O1124" i="1" s="1"/>
  <c r="M1118" i="1" a="1"/>
  <c r="M1120" i="1" s="1"/>
  <c r="M1114" i="1" a="1"/>
  <c r="M1115" i="1" s="1"/>
  <c r="J1113" i="1"/>
  <c r="J1112" i="1"/>
  <c r="J1111" i="1"/>
  <c r="M1110" i="1" a="1"/>
  <c r="J1110" i="1"/>
  <c r="O1100" i="1" a="1"/>
  <c r="P1102" i="1" s="1"/>
  <c r="N1096" i="1" a="1"/>
  <c r="N1096" i="1" s="1"/>
  <c r="M1092" i="1" a="1"/>
  <c r="M1088" i="1" a="1"/>
  <c r="M1090" i="1" s="1"/>
  <c r="M1084" i="1" a="1"/>
  <c r="P1084" i="1" s="1"/>
  <c r="M1080" i="1" a="1"/>
  <c r="M1080" i="1" s="1"/>
  <c r="L1050" i="1"/>
  <c r="M1076" i="1" a="1"/>
  <c r="M1078" i="1" s="1"/>
  <c r="M1072" i="1" a="1"/>
  <c r="M1068" i="1" a="1"/>
  <c r="M1064" i="1" a="1"/>
  <c r="P1065" i="1" s="1"/>
  <c r="M1060" i="1" a="1"/>
  <c r="M1056" i="1" a="1"/>
  <c r="P1058" i="1" s="1"/>
  <c r="J1055" i="1"/>
  <c r="J1057" i="1" s="1"/>
  <c r="J1054" i="1"/>
  <c r="J1053" i="1"/>
  <c r="M1052" i="1" a="1"/>
  <c r="M1054" i="1" s="1"/>
  <c r="J1052" i="1"/>
  <c r="L1048" i="1"/>
  <c r="O1042" i="1" a="1"/>
  <c r="O1043" i="1" s="1"/>
  <c r="N1038" i="1" a="1"/>
  <c r="M1034" i="1" a="1"/>
  <c r="O1035" i="1" s="1"/>
  <c r="M1030" i="1" a="1"/>
  <c r="O1032" i="1" s="1"/>
  <c r="M1026" i="1" a="1"/>
  <c r="P1028" i="1" s="1"/>
  <c r="M1022" i="1" a="1"/>
  <c r="P1023" i="1" s="1"/>
  <c r="L992" i="1"/>
  <c r="M1018" i="1" a="1"/>
  <c r="M1014" i="1" a="1"/>
  <c r="M1016" i="1" s="1"/>
  <c r="M1010" i="1" a="1"/>
  <c r="M1011" i="1" s="1"/>
  <c r="M1006" i="1" a="1"/>
  <c r="P1008" i="1" s="1"/>
  <c r="M1002" i="1" a="1"/>
  <c r="N1003" i="1" s="1"/>
  <c r="M998" i="1" a="1"/>
  <c r="J997" i="1"/>
  <c r="J1000" i="1" s="1"/>
  <c r="J996" i="1"/>
  <c r="J995" i="1"/>
  <c r="M994" i="1" a="1"/>
  <c r="P994" i="1" s="1"/>
  <c r="J994" i="1"/>
  <c r="L990" i="1"/>
  <c r="O984" i="1" a="1"/>
  <c r="P986" i="1" s="1"/>
  <c r="N980" i="1" a="1"/>
  <c r="P982" i="1" s="1"/>
  <c r="M976" i="1" a="1"/>
  <c r="M972" i="1" a="1"/>
  <c r="P973" i="1" s="1"/>
  <c r="M968" i="1" a="1"/>
  <c r="N970" i="1" s="1"/>
  <c r="M964" i="1" a="1"/>
  <c r="P965" i="1" s="1"/>
  <c r="M960" i="1" a="1"/>
  <c r="O961" i="1" s="1"/>
  <c r="M956" i="1" a="1"/>
  <c r="N956" i="1" s="1"/>
  <c r="M952" i="1" a="1"/>
  <c r="M948" i="1" a="1"/>
  <c r="M944" i="1" a="1"/>
  <c r="M946" i="1" s="1"/>
  <c r="M940" i="1" a="1"/>
  <c r="N941" i="1" s="1"/>
  <c r="J939" i="1"/>
  <c r="J940" i="1" s="1"/>
  <c r="J938" i="1"/>
  <c r="J937" i="1"/>
  <c r="M936" i="1" a="1"/>
  <c r="P938" i="1" s="1"/>
  <c r="J936" i="1"/>
  <c r="L932" i="1"/>
  <c r="O926" i="1" a="1"/>
  <c r="N922" i="1" a="1"/>
  <c r="M918" i="1" a="1"/>
  <c r="O920" i="1" s="1"/>
  <c r="M914" i="1" a="1"/>
  <c r="N916" i="1" s="1"/>
  <c r="M910" i="1" a="1"/>
  <c r="M906" i="1" a="1"/>
  <c r="N908" i="1" s="1"/>
  <c r="L876" i="1"/>
  <c r="M902" i="1" a="1"/>
  <c r="M898" i="1" a="1"/>
  <c r="O899" i="1" s="1"/>
  <c r="M894" i="1" a="1"/>
  <c r="O895" i="1" s="1"/>
  <c r="M890" i="1" a="1"/>
  <c r="P892" i="1" s="1"/>
  <c r="M886" i="1" a="1"/>
  <c r="M882" i="1" a="1"/>
  <c r="J881" i="1"/>
  <c r="J880" i="1"/>
  <c r="J879" i="1"/>
  <c r="M878" i="1" a="1"/>
  <c r="J878" i="1"/>
  <c r="K876" i="1"/>
  <c r="K874" i="1" s="1"/>
  <c r="L875" i="1"/>
  <c r="L874" i="1"/>
  <c r="O868" i="1" a="1"/>
  <c r="N864" i="1" a="1"/>
  <c r="P865" i="1" s="1"/>
  <c r="M860" i="1" a="1"/>
  <c r="M856" i="1" a="1"/>
  <c r="P858" i="1" s="1"/>
  <c r="M852" i="1" a="1"/>
  <c r="M848" i="1" a="1"/>
  <c r="P850" i="1" s="1"/>
  <c r="L816" i="1"/>
  <c r="M844" i="1" a="1"/>
  <c r="P844" i="1" s="1"/>
  <c r="M840" i="1" a="1"/>
  <c r="N841" i="1" s="1"/>
  <c r="M836" i="1" a="1"/>
  <c r="N837" i="1" s="1"/>
  <c r="M832" i="1" a="1"/>
  <c r="M828" i="1" a="1"/>
  <c r="O830" i="1" s="1"/>
  <c r="M824" i="1" a="1"/>
  <c r="J823" i="1"/>
  <c r="J826" i="1" s="1"/>
  <c r="J822" i="1"/>
  <c r="J821" i="1"/>
  <c r="M820" i="1" a="1"/>
  <c r="O821" i="1" s="1"/>
  <c r="J820" i="1"/>
  <c r="O810" i="1" a="1"/>
  <c r="P810" i="1" s="1"/>
  <c r="N806" i="1" a="1"/>
  <c r="P807" i="1" s="1"/>
  <c r="M802" i="1" a="1"/>
  <c r="P802" i="1" s="1"/>
  <c r="M798" i="1" a="1"/>
  <c r="N799" i="1" s="1"/>
  <c r="M794" i="1" a="1"/>
  <c r="M790" i="1" a="1"/>
  <c r="O791" i="1" s="1"/>
  <c r="L760" i="1"/>
  <c r="M786" i="1" a="1"/>
  <c r="M782" i="1" a="1"/>
  <c r="M784" i="1" s="1"/>
  <c r="M778" i="1" a="1"/>
  <c r="N779" i="1" s="1"/>
  <c r="M774" i="1" a="1"/>
  <c r="O775" i="1" s="1"/>
  <c r="M770" i="1" a="1"/>
  <c r="M772" i="1" s="1"/>
  <c r="M766" i="1" a="1"/>
  <c r="P767" i="1" s="1"/>
  <c r="J765" i="1"/>
  <c r="J764" i="1"/>
  <c r="J763" i="1"/>
  <c r="M762" i="1" a="1"/>
  <c r="P764" i="1" s="1"/>
  <c r="J762" i="1"/>
  <c r="O752" i="1" a="1"/>
  <c r="O753" i="1" s="1"/>
  <c r="N748" i="1" a="1"/>
  <c r="O750" i="1" s="1"/>
  <c r="M744" i="1" a="1"/>
  <c r="M740" i="1" a="1"/>
  <c r="N741" i="1" s="1"/>
  <c r="M736" i="1" a="1"/>
  <c r="M738" i="1" s="1"/>
  <c r="M732" i="1" a="1"/>
  <c r="M734" i="1" s="1"/>
  <c r="L700" i="1"/>
  <c r="M728" i="1" a="1"/>
  <c r="P730" i="1" s="1"/>
  <c r="M724" i="1" a="1"/>
  <c r="M725" i="1" s="1"/>
  <c r="M720" i="1" a="1"/>
  <c r="N722" i="1" s="1"/>
  <c r="M716" i="1" a="1"/>
  <c r="M718" i="1" s="1"/>
  <c r="M712" i="1" a="1"/>
  <c r="M714" i="1" s="1"/>
  <c r="M708" i="1" a="1"/>
  <c r="P710" i="1" s="1"/>
  <c r="J707" i="1"/>
  <c r="J706" i="1"/>
  <c r="J705" i="1"/>
  <c r="M704" i="1" a="1"/>
  <c r="J704" i="1"/>
  <c r="O694" i="1" a="1"/>
  <c r="N690" i="1" a="1"/>
  <c r="M686" i="1" a="1"/>
  <c r="M688" i="1" s="1"/>
  <c r="M682" i="1" a="1"/>
  <c r="N684" i="1" s="1"/>
  <c r="M678" i="1" a="1"/>
  <c r="O679" i="1" s="1"/>
  <c r="M674" i="1" a="1"/>
  <c r="M670" i="1" a="1"/>
  <c r="P671" i="1" s="1"/>
  <c r="M666" i="1" a="1"/>
  <c r="P667" i="1" s="1"/>
  <c r="M662" i="1" a="1"/>
  <c r="M658" i="1" a="1"/>
  <c r="N659" i="1" s="1"/>
  <c r="M654" i="1" a="1"/>
  <c r="P655" i="1" s="1"/>
  <c r="M650" i="1" a="1"/>
  <c r="O652" i="1" s="1"/>
  <c r="J649" i="1"/>
  <c r="J653" i="1" s="1"/>
  <c r="J648" i="1"/>
  <c r="J647" i="1"/>
  <c r="M646" i="1" a="1"/>
  <c r="J646" i="1"/>
  <c r="O636" i="1" a="1"/>
  <c r="P637" i="1" s="1"/>
  <c r="N632" i="1" a="1"/>
  <c r="P634" i="1" s="1"/>
  <c r="M628" i="1" a="1"/>
  <c r="M630" i="1" s="1"/>
  <c r="M624" i="1" a="1"/>
  <c r="P625" i="1" s="1"/>
  <c r="M620" i="1" a="1"/>
  <c r="O621" i="1" s="1"/>
  <c r="M616" i="1" a="1"/>
  <c r="M618" i="1" s="1"/>
  <c r="L586" i="1"/>
  <c r="M612" i="1" a="1"/>
  <c r="N614" i="1" s="1"/>
  <c r="M608" i="1" a="1"/>
  <c r="N610" i="1" s="1"/>
  <c r="M604" i="1" a="1"/>
  <c r="M600" i="1" a="1"/>
  <c r="N601" i="1" s="1"/>
  <c r="M596" i="1" a="1"/>
  <c r="O597" i="1" s="1"/>
  <c r="M592" i="1" a="1"/>
  <c r="N594" i="1" s="1"/>
  <c r="J591" i="1"/>
  <c r="J590" i="1"/>
  <c r="J589" i="1"/>
  <c r="M588" i="1" a="1"/>
  <c r="O590" i="1" s="1"/>
  <c r="J588" i="1"/>
  <c r="K586" i="1"/>
  <c r="K584" i="1" s="1"/>
  <c r="O578" i="1" a="1"/>
  <c r="N574" i="1" a="1"/>
  <c r="O576" i="1" s="1"/>
  <c r="M570" i="1" a="1"/>
  <c r="N572" i="1" s="1"/>
  <c r="M566" i="1" a="1"/>
  <c r="P568" i="1" s="1"/>
  <c r="M562" i="1" a="1"/>
  <c r="M563" i="1" s="1"/>
  <c r="M558" i="1" a="1"/>
  <c r="N560" i="1" s="1"/>
  <c r="L526" i="1"/>
  <c r="M554" i="1" a="1"/>
  <c r="P556" i="1" s="1"/>
  <c r="M550" i="1" a="1"/>
  <c r="M551" i="1" s="1"/>
  <c r="M546" i="1" a="1"/>
  <c r="P548" i="1" s="1"/>
  <c r="M542" i="1" a="1"/>
  <c r="M544" i="1" s="1"/>
  <c r="M538" i="1" a="1"/>
  <c r="P540" i="1" s="1"/>
  <c r="M534" i="1" a="1"/>
  <c r="O536" i="1" s="1"/>
  <c r="J533" i="1"/>
  <c r="J532" i="1"/>
  <c r="J531" i="1"/>
  <c r="M530" i="1" a="1"/>
  <c r="O531" i="1" s="1"/>
  <c r="J530" i="1"/>
  <c r="O520" i="1" a="1"/>
  <c r="N516" i="1" a="1"/>
  <c r="O517" i="1" s="1"/>
  <c r="M512" i="1" a="1"/>
  <c r="M514" i="1" s="1"/>
  <c r="M508" i="1" a="1"/>
  <c r="M509" i="1" s="1"/>
  <c r="M504" i="1" a="1"/>
  <c r="O506" i="1" s="1"/>
  <c r="M500" i="1" a="1"/>
  <c r="M501" i="1" s="1"/>
  <c r="M496" i="1" a="1"/>
  <c r="O497" i="1" s="1"/>
  <c r="M492" i="1" a="1"/>
  <c r="O493" i="1" s="1"/>
  <c r="M488" i="1" a="1"/>
  <c r="M490" i="1" s="1"/>
  <c r="M484" i="1" a="1"/>
  <c r="P486" i="1" s="1"/>
  <c r="M480" i="1" a="1"/>
  <c r="M476" i="1" a="1"/>
  <c r="M478" i="1" s="1"/>
  <c r="J475" i="1"/>
  <c r="J476" i="1" s="1"/>
  <c r="J474" i="1"/>
  <c r="J473" i="1"/>
  <c r="M472" i="1" a="1"/>
  <c r="O473" i="1" s="1"/>
  <c r="J472" i="1"/>
  <c r="L470" i="1"/>
  <c r="O462" i="1" a="1"/>
  <c r="O464" i="1" s="1"/>
  <c r="N458" i="1" a="1"/>
  <c r="N458" i="1" s="1"/>
  <c r="M454" i="1" a="1"/>
  <c r="P456" i="1" s="1"/>
  <c r="M450" i="1" a="1"/>
  <c r="M451" i="1" s="1"/>
  <c r="M446" i="1" a="1"/>
  <c r="P447" i="1" s="1"/>
  <c r="M442" i="1" a="1"/>
  <c r="K412" i="1"/>
  <c r="K410" i="1" s="1"/>
  <c r="M438" i="1" a="1"/>
  <c r="M440" i="1" s="1"/>
  <c r="M434" i="1" a="1"/>
  <c r="P436" i="1" s="1"/>
  <c r="M430" i="1" a="1"/>
  <c r="O432" i="1" s="1"/>
  <c r="M426" i="1" a="1"/>
  <c r="P427" i="1" s="1"/>
  <c r="M422" i="1" a="1"/>
  <c r="P423" i="1" s="1"/>
  <c r="M418" i="1" a="1"/>
  <c r="N419" i="1" s="1"/>
  <c r="J417" i="1"/>
  <c r="J418" i="1" s="1"/>
  <c r="J416" i="1"/>
  <c r="J415" i="1"/>
  <c r="M414" i="1" a="1"/>
  <c r="P416" i="1" s="1"/>
  <c r="J414" i="1"/>
  <c r="L412" i="1"/>
  <c r="L411" i="1"/>
  <c r="L410" i="1"/>
  <c r="O404" i="1" a="1"/>
  <c r="O406" i="1" s="1"/>
  <c r="N400" i="1" a="1"/>
  <c r="M396" i="1" a="1"/>
  <c r="O398" i="1" s="1"/>
  <c r="M392" i="1" a="1"/>
  <c r="P394" i="1" s="1"/>
  <c r="M388" i="1" a="1"/>
  <c r="P390" i="1" s="1"/>
  <c r="M384" i="1" a="1"/>
  <c r="O386" i="1" s="1"/>
  <c r="M380" i="1" a="1"/>
  <c r="N382" i="1" s="1"/>
  <c r="M376" i="1" a="1"/>
  <c r="P378" i="1" s="1"/>
  <c r="M372" i="1" a="1"/>
  <c r="P373" i="1" s="1"/>
  <c r="M368" i="1" a="1"/>
  <c r="O370" i="1" s="1"/>
  <c r="M364" i="1" a="1"/>
  <c r="O366" i="1" s="1"/>
  <c r="M360" i="1" a="1"/>
  <c r="J359" i="1"/>
  <c r="J363" i="1" s="1"/>
  <c r="J358" i="1"/>
  <c r="J357" i="1"/>
  <c r="M356" i="1" a="1"/>
  <c r="M357" i="1" s="1"/>
  <c r="J356" i="1"/>
  <c r="L354" i="1"/>
  <c r="K354" i="1"/>
  <c r="L353" i="1"/>
  <c r="L352" i="1"/>
  <c r="O346" i="1" a="1"/>
  <c r="O348" i="1" s="1"/>
  <c r="N342" i="1" a="1"/>
  <c r="O344" i="1" s="1"/>
  <c r="M338" i="1" a="1"/>
  <c r="P340" i="1" s="1"/>
  <c r="M334" i="1" a="1"/>
  <c r="P336" i="1" s="1"/>
  <c r="M330" i="1" a="1"/>
  <c r="M331" i="1" s="1"/>
  <c r="M326" i="1" a="1"/>
  <c r="P328" i="1" s="1"/>
  <c r="L294" i="1"/>
  <c r="M322" i="1" a="1"/>
  <c r="M324" i="1" s="1"/>
  <c r="M318" i="1" a="1"/>
  <c r="N319" i="1" s="1"/>
  <c r="M314" i="1" a="1"/>
  <c r="P316" i="1" s="1"/>
  <c r="M310" i="1" a="1"/>
  <c r="N312" i="1" s="1"/>
  <c r="M306" i="1" a="1"/>
  <c r="P308" i="1" s="1"/>
  <c r="M302" i="1" a="1"/>
  <c r="M303" i="1" s="1"/>
  <c r="J301" i="1"/>
  <c r="J305" i="1" s="1"/>
  <c r="J308" i="1" s="1"/>
  <c r="J300" i="1"/>
  <c r="J299" i="1"/>
  <c r="M298" i="1" a="1"/>
  <c r="O299" i="1" s="1"/>
  <c r="J298" i="1"/>
  <c r="O288" i="1" a="1"/>
  <c r="P289" i="1" s="1"/>
  <c r="N284" i="1" a="1"/>
  <c r="O286" i="1" s="1"/>
  <c r="M280" i="1" a="1"/>
  <c r="P282" i="1" s="1"/>
  <c r="M276" i="1" a="1"/>
  <c r="P278" i="1" s="1"/>
  <c r="M272" i="1" a="1"/>
  <c r="M268" i="1" a="1"/>
  <c r="P270" i="1" s="1"/>
  <c r="M264" i="1" a="1"/>
  <c r="M266" i="1" s="1"/>
  <c r="M260" i="1" a="1"/>
  <c r="M262" i="1" s="1"/>
  <c r="M256" i="1" a="1"/>
  <c r="P258" i="1" s="1"/>
  <c r="M252" i="1" a="1"/>
  <c r="M248" i="1" a="1"/>
  <c r="P250" i="1" s="1"/>
  <c r="M244" i="1" a="1"/>
  <c r="P246" i="1" s="1"/>
  <c r="J243" i="1"/>
  <c r="J247" i="1" s="1"/>
  <c r="J250" i="1" s="1"/>
  <c r="J242" i="1"/>
  <c r="J241" i="1"/>
  <c r="M240" i="1" a="1"/>
  <c r="M242" i="1" s="1"/>
  <c r="J240" i="1"/>
  <c r="O230" i="1" a="1"/>
  <c r="P231" i="1" s="1"/>
  <c r="N226" i="1" a="1"/>
  <c r="P227" i="1" s="1"/>
  <c r="M222" i="1" a="1"/>
  <c r="M223" i="1" s="1"/>
  <c r="M218" i="1" a="1"/>
  <c r="P218" i="1" s="1"/>
  <c r="M214" i="1" a="1"/>
  <c r="P216" i="1" s="1"/>
  <c r="M210" i="1" a="1"/>
  <c r="P210" i="1" s="1"/>
  <c r="K180" i="1"/>
  <c r="M206" i="1" a="1"/>
  <c r="O207" i="1" s="1"/>
  <c r="M202" i="1" a="1"/>
  <c r="M198" i="1" a="1"/>
  <c r="M200" i="1" s="1"/>
  <c r="M194" i="1" a="1"/>
  <c r="P196" i="1" s="1"/>
  <c r="M190" i="1" a="1"/>
  <c r="M186" i="1" a="1"/>
  <c r="P188" i="1" s="1"/>
  <c r="J185" i="1"/>
  <c r="J188" i="1" s="1"/>
  <c r="J184" i="1"/>
  <c r="J183" i="1"/>
  <c r="M182" i="1" a="1"/>
  <c r="N184" i="1" s="1"/>
  <c r="J182" i="1"/>
  <c r="O172" i="1" a="1"/>
  <c r="P173" i="1" s="1"/>
  <c r="N168" i="1" a="1"/>
  <c r="O170" i="1" s="1"/>
  <c r="M164" i="1" a="1"/>
  <c r="P166" i="1" s="1"/>
  <c r="M160" i="1" a="1"/>
  <c r="P162" i="1" s="1"/>
  <c r="M156" i="1" a="1"/>
  <c r="M152" i="1" a="1"/>
  <c r="P154" i="1" s="1"/>
  <c r="K122" i="1"/>
  <c r="M148" i="1" a="1"/>
  <c r="M144" i="1" a="1"/>
  <c r="P144" i="1" s="1"/>
  <c r="M140" i="1" a="1"/>
  <c r="P142" i="1" s="1"/>
  <c r="M136" i="1" a="1"/>
  <c r="M138" i="1" s="1"/>
  <c r="M132" i="1" a="1"/>
  <c r="P134" i="1" s="1"/>
  <c r="M128" i="1" a="1"/>
  <c r="M130" i="1" s="1"/>
  <c r="J127" i="1"/>
  <c r="J126" i="1"/>
  <c r="J125" i="1"/>
  <c r="M124" i="1" a="1"/>
  <c r="M125" i="1" s="1"/>
  <c r="J124" i="1"/>
  <c r="L120" i="1"/>
  <c r="O114" i="1" a="1"/>
  <c r="O115" i="1" s="1"/>
  <c r="N110" i="1" a="1"/>
  <c r="P112" i="1" s="1"/>
  <c r="M106" i="1" a="1"/>
  <c r="M108" i="1" s="1"/>
  <c r="M102" i="1" a="1"/>
  <c r="M104" i="1" s="1"/>
  <c r="M98" i="1" a="1"/>
  <c r="P100" i="1" s="1"/>
  <c r="M94" i="1" a="1"/>
  <c r="P96" i="1" s="1"/>
  <c r="L63" i="1"/>
  <c r="M90" i="1" a="1"/>
  <c r="O92" i="1" s="1"/>
  <c r="M86" i="1" a="1"/>
  <c r="P88" i="1" s="1"/>
  <c r="M82" i="1" a="1"/>
  <c r="P84" i="1" s="1"/>
  <c r="M78" i="1" a="1"/>
  <c r="P80" i="1" s="1"/>
  <c r="M74" i="1" a="1"/>
  <c r="P76" i="1" s="1"/>
  <c r="M70" i="1" a="1"/>
  <c r="P72" i="1" s="1"/>
  <c r="J69" i="1"/>
  <c r="J68" i="1"/>
  <c r="J67" i="1"/>
  <c r="M66" i="1" a="1"/>
  <c r="P67" i="1" s="1"/>
  <c r="J66" i="1"/>
  <c r="E104" i="1" l="1"/>
  <c r="E800" i="1"/>
  <c r="E974" i="1"/>
  <c r="E278" i="1"/>
  <c r="E858" i="1"/>
  <c r="E1032" i="1"/>
  <c r="E742" i="1"/>
  <c r="E1090" i="1"/>
  <c r="E1148" i="1"/>
  <c r="E43" i="1"/>
  <c r="E452" i="1"/>
  <c r="E798" i="1"/>
  <c r="E568" i="1"/>
  <c r="E684" i="1"/>
  <c r="E450" i="1"/>
  <c r="E626" i="1"/>
  <c r="E510" i="1"/>
  <c r="E46" i="1"/>
  <c r="E681" i="1"/>
  <c r="E392" i="1"/>
  <c r="P708" i="1"/>
  <c r="E1145" i="1"/>
  <c r="E739" i="1"/>
  <c r="E44" i="1"/>
  <c r="N1031" i="1"/>
  <c r="E336" i="1"/>
  <c r="E275" i="1"/>
  <c r="E102" i="1"/>
  <c r="E220" i="1"/>
  <c r="N968" i="1"/>
  <c r="E391" i="1"/>
  <c r="N575" i="1"/>
  <c r="P666" i="1"/>
  <c r="O968" i="1"/>
  <c r="J1056" i="1"/>
  <c r="E740" i="1"/>
  <c r="E565" i="1"/>
  <c r="O969" i="1"/>
  <c r="E682" i="1"/>
  <c r="E333" i="1"/>
  <c r="M597" i="1"/>
  <c r="E1029" i="1"/>
  <c r="E101" i="1"/>
  <c r="E276" i="1"/>
  <c r="O848" i="1"/>
  <c r="O916" i="1"/>
  <c r="E914" i="1"/>
  <c r="E566" i="1"/>
  <c r="P918" i="1"/>
  <c r="M965" i="1"/>
  <c r="E797" i="1"/>
  <c r="E508" i="1"/>
  <c r="E162" i="1"/>
  <c r="E159" i="1"/>
  <c r="E623" i="1"/>
  <c r="E624" i="1"/>
  <c r="O542" i="1"/>
  <c r="O716" i="1"/>
  <c r="M767" i="1"/>
  <c r="P1004" i="1"/>
  <c r="E1030" i="1"/>
  <c r="E394" i="1"/>
  <c r="E507" i="1"/>
  <c r="E449" i="1"/>
  <c r="E334" i="1"/>
  <c r="E1088" i="1"/>
  <c r="E1087" i="1"/>
  <c r="E855" i="1"/>
  <c r="E856" i="1"/>
  <c r="M439" i="1"/>
  <c r="O446" i="1"/>
  <c r="O455" i="1"/>
  <c r="N484" i="1"/>
  <c r="O555" i="1"/>
  <c r="M600" i="1"/>
  <c r="O718" i="1"/>
  <c r="N1026" i="1"/>
  <c r="N1130" i="1"/>
  <c r="E1146" i="1"/>
  <c r="E913" i="1"/>
  <c r="E160" i="1"/>
  <c r="N314" i="1"/>
  <c r="N448" i="1"/>
  <c r="N538" i="1"/>
  <c r="N546" i="1"/>
  <c r="N567" i="1"/>
  <c r="O636" i="1"/>
  <c r="M656" i="1"/>
  <c r="N771" i="1"/>
  <c r="M891" i="1"/>
  <c r="O986" i="1"/>
  <c r="N996" i="1"/>
  <c r="M1006" i="1"/>
  <c r="O1130" i="1"/>
  <c r="E972" i="1"/>
  <c r="E971" i="1"/>
  <c r="E217" i="1"/>
  <c r="E218" i="1"/>
  <c r="J246" i="1"/>
  <c r="J309" i="1"/>
  <c r="J313" i="1" s="1"/>
  <c r="J314" i="1" s="1"/>
  <c r="M426" i="1"/>
  <c r="N435" i="1"/>
  <c r="N496" i="1"/>
  <c r="P536" i="1"/>
  <c r="N620" i="1"/>
  <c r="O628" i="1"/>
  <c r="O637" i="1"/>
  <c r="M668" i="1"/>
  <c r="O732" i="1"/>
  <c r="N748" i="1"/>
  <c r="O772" i="1"/>
  <c r="P774" i="1"/>
  <c r="N798" i="1"/>
  <c r="N828" i="1"/>
  <c r="O849" i="1"/>
  <c r="M856" i="1"/>
  <c r="M858" i="1"/>
  <c r="M898" i="1"/>
  <c r="O900" i="1"/>
  <c r="O906" i="1"/>
  <c r="M936" i="1"/>
  <c r="M938" i="1"/>
  <c r="M961" i="1"/>
  <c r="L991" i="1"/>
  <c r="O1007" i="1"/>
  <c r="O1014" i="1"/>
  <c r="P1085" i="1"/>
  <c r="O1118" i="1"/>
  <c r="J420" i="1"/>
  <c r="N900" i="1"/>
  <c r="O937" i="1"/>
  <c r="J302" i="1"/>
  <c r="N414" i="1"/>
  <c r="O420" i="1"/>
  <c r="N477" i="1"/>
  <c r="N498" i="1"/>
  <c r="O505" i="1"/>
  <c r="M513" i="1"/>
  <c r="M721" i="1"/>
  <c r="P728" i="1"/>
  <c r="P748" i="1"/>
  <c r="N770" i="1"/>
  <c r="O776" i="1"/>
  <c r="N791" i="1"/>
  <c r="M829" i="1"/>
  <c r="P840" i="1"/>
  <c r="M848" i="1"/>
  <c r="M850" i="1"/>
  <c r="N856" i="1"/>
  <c r="O858" i="1"/>
  <c r="N894" i="1"/>
  <c r="N898" i="1"/>
  <c r="N936" i="1"/>
  <c r="O938" i="1"/>
  <c r="M940" i="1"/>
  <c r="O944" i="1"/>
  <c r="M1002" i="1"/>
  <c r="P1014" i="1"/>
  <c r="P1116" i="1"/>
  <c r="N1119" i="1"/>
  <c r="O1131" i="1"/>
  <c r="O857" i="1"/>
  <c r="O430" i="1"/>
  <c r="O463" i="1"/>
  <c r="P492" i="1"/>
  <c r="O547" i="1"/>
  <c r="M571" i="1"/>
  <c r="P616" i="1"/>
  <c r="N654" i="1"/>
  <c r="O666" i="1"/>
  <c r="O712" i="1"/>
  <c r="M736" i="1"/>
  <c r="N750" i="1"/>
  <c r="P762" i="1"/>
  <c r="O770" i="1"/>
  <c r="O820" i="1"/>
  <c r="N830" i="1"/>
  <c r="N848" i="1"/>
  <c r="O850" i="1"/>
  <c r="O856" i="1"/>
  <c r="M890" i="1"/>
  <c r="N896" i="1"/>
  <c r="M899" i="1"/>
  <c r="O936" i="1"/>
  <c r="J941" i="1"/>
  <c r="P1002" i="1"/>
  <c r="N1010" i="1"/>
  <c r="O377" i="1"/>
  <c r="M356" i="1"/>
  <c r="P404" i="1"/>
  <c r="M358" i="1"/>
  <c r="P372" i="1"/>
  <c r="N327" i="1"/>
  <c r="P343" i="1"/>
  <c r="N311" i="1"/>
  <c r="M334" i="1"/>
  <c r="O322" i="1"/>
  <c r="M326" i="1"/>
  <c r="N335" i="1"/>
  <c r="O324" i="1"/>
  <c r="N326" i="1"/>
  <c r="N397" i="1"/>
  <c r="N376" i="1"/>
  <c r="N393" i="1"/>
  <c r="O388" i="1"/>
  <c r="O376" i="1"/>
  <c r="O404" i="1"/>
  <c r="M298" i="1"/>
  <c r="P312" i="1"/>
  <c r="O328" i="1"/>
  <c r="O336" i="1"/>
  <c r="K296" i="1"/>
  <c r="P299" i="1"/>
  <c r="O347" i="1"/>
  <c r="O282" i="1"/>
  <c r="M248" i="1"/>
  <c r="N284" i="1"/>
  <c r="M276" i="1"/>
  <c r="P284" i="1"/>
  <c r="N249" i="1"/>
  <c r="O250" i="1"/>
  <c r="N277" i="1"/>
  <c r="M280" i="1"/>
  <c r="N286" i="1"/>
  <c r="O278" i="1"/>
  <c r="J73" i="1"/>
  <c r="J75" i="1" s="1"/>
  <c r="J72" i="1"/>
  <c r="N257" i="1"/>
  <c r="P424" i="1"/>
  <c r="N663" i="1"/>
  <c r="M663" i="1"/>
  <c r="P244" i="1"/>
  <c r="O249" i="1"/>
  <c r="J249" i="1"/>
  <c r="M256" i="1"/>
  <c r="O257" i="1"/>
  <c r="N260" i="1"/>
  <c r="O277" i="1"/>
  <c r="P285" i="1"/>
  <c r="O288" i="1"/>
  <c r="L295" i="1"/>
  <c r="M300" i="1"/>
  <c r="M306" i="1"/>
  <c r="N315" i="1"/>
  <c r="M318" i="1"/>
  <c r="O335" i="1"/>
  <c r="P358" i="1"/>
  <c r="N374" i="1"/>
  <c r="M380" i="1"/>
  <c r="O384" i="1"/>
  <c r="O389" i="1"/>
  <c r="P398" i="1"/>
  <c r="N415" i="1"/>
  <c r="O422" i="1"/>
  <c r="P446" i="1"/>
  <c r="O478" i="1"/>
  <c r="N485" i="1"/>
  <c r="M489" i="1"/>
  <c r="P508" i="1"/>
  <c r="N516" i="1"/>
  <c r="N539" i="1"/>
  <c r="N544" i="1"/>
  <c r="O546" i="1"/>
  <c r="M562" i="1"/>
  <c r="O568" i="1"/>
  <c r="O608" i="1"/>
  <c r="P664" i="1"/>
  <c r="P724" i="1"/>
  <c r="P726" i="1"/>
  <c r="O779" i="1"/>
  <c r="O778" i="1"/>
  <c r="J189" i="1"/>
  <c r="J192" i="1" s="1"/>
  <c r="J245" i="1"/>
  <c r="J251" i="1"/>
  <c r="J255" i="1" s="1"/>
  <c r="J259" i="1" s="1"/>
  <c r="J261" i="1" s="1"/>
  <c r="N256" i="1"/>
  <c r="M258" i="1"/>
  <c r="O289" i="1"/>
  <c r="N307" i="1"/>
  <c r="O315" i="1"/>
  <c r="P319" i="1"/>
  <c r="P374" i="1"/>
  <c r="M382" i="1"/>
  <c r="M390" i="1"/>
  <c r="O415" i="1"/>
  <c r="P422" i="1"/>
  <c r="O485" i="1"/>
  <c r="M510" i="1"/>
  <c r="N517" i="1"/>
  <c r="O539" i="1"/>
  <c r="O544" i="1"/>
  <c r="P562" i="1"/>
  <c r="P590" i="1"/>
  <c r="N589" i="1"/>
  <c r="J593" i="1"/>
  <c r="J594" i="1"/>
  <c r="J592" i="1"/>
  <c r="O605" i="1"/>
  <c r="P605" i="1"/>
  <c r="N648" i="1"/>
  <c r="O646" i="1"/>
  <c r="P647" i="1"/>
  <c r="P660" i="1"/>
  <c r="M658" i="1"/>
  <c r="O660" i="1"/>
  <c r="O670" i="1"/>
  <c r="P670" i="1"/>
  <c r="P695" i="1"/>
  <c r="O695" i="1"/>
  <c r="P795" i="1"/>
  <c r="M796" i="1"/>
  <c r="O794" i="1"/>
  <c r="M826" i="1"/>
  <c r="P825" i="1"/>
  <c r="P824" i="1"/>
  <c r="O824" i="1"/>
  <c r="O911" i="1"/>
  <c r="M911" i="1"/>
  <c r="N910" i="1"/>
  <c r="J186" i="1"/>
  <c r="J244" i="1"/>
  <c r="N248" i="1"/>
  <c r="O256" i="1"/>
  <c r="O258" i="1"/>
  <c r="N276" i="1"/>
  <c r="N281" i="1"/>
  <c r="O284" i="1"/>
  <c r="P286" i="1"/>
  <c r="L296" i="1"/>
  <c r="O298" i="1"/>
  <c r="O308" i="1"/>
  <c r="M314" i="1"/>
  <c r="O316" i="1"/>
  <c r="O327" i="1"/>
  <c r="N334" i="1"/>
  <c r="N342" i="1"/>
  <c r="P356" i="1"/>
  <c r="O372" i="1"/>
  <c r="M378" i="1"/>
  <c r="N388" i="1"/>
  <c r="P392" i="1"/>
  <c r="P396" i="1"/>
  <c r="M414" i="1"/>
  <c r="O416" i="1"/>
  <c r="M418" i="1"/>
  <c r="J421" i="1"/>
  <c r="J425" i="1" s="1"/>
  <c r="J426" i="1" s="1"/>
  <c r="M424" i="1"/>
  <c r="O438" i="1"/>
  <c r="P448" i="1"/>
  <c r="O476" i="1"/>
  <c r="M484" i="1"/>
  <c r="O486" i="1"/>
  <c r="O492" i="1"/>
  <c r="O534" i="1"/>
  <c r="M538" i="1"/>
  <c r="O540" i="1"/>
  <c r="N542" i="1"/>
  <c r="M548" i="1"/>
  <c r="P554" i="1"/>
  <c r="M559" i="1"/>
  <c r="M566" i="1"/>
  <c r="P574" i="1"/>
  <c r="M588" i="1"/>
  <c r="M596" i="1"/>
  <c r="P602" i="1"/>
  <c r="M601" i="1"/>
  <c r="M604" i="1"/>
  <c r="O625" i="1"/>
  <c r="M624" i="1"/>
  <c r="P646" i="1"/>
  <c r="O710" i="1"/>
  <c r="O708" i="1"/>
  <c r="O709" i="1"/>
  <c r="P714" i="1"/>
  <c r="O713" i="1"/>
  <c r="N712" i="1"/>
  <c r="O730" i="1"/>
  <c r="O728" i="1"/>
  <c r="O729" i="1"/>
  <c r="P734" i="1"/>
  <c r="O733" i="1"/>
  <c r="N732" i="1"/>
  <c r="P742" i="1"/>
  <c r="M740" i="1"/>
  <c r="O742" i="1"/>
  <c r="M764" i="1"/>
  <c r="M762" i="1"/>
  <c r="M763" i="1"/>
  <c r="O784" i="1"/>
  <c r="M782" i="1"/>
  <c r="P794" i="1"/>
  <c r="N803" i="1"/>
  <c r="M1058" i="1"/>
  <c r="N1128" i="1"/>
  <c r="P636" i="1"/>
  <c r="P654" i="1"/>
  <c r="P668" i="1"/>
  <c r="N717" i="1"/>
  <c r="O748" i="1"/>
  <c r="P750" i="1"/>
  <c r="N772" i="1"/>
  <c r="N849" i="1"/>
  <c r="N857" i="1"/>
  <c r="O891" i="1"/>
  <c r="N937" i="1"/>
  <c r="N940" i="1"/>
  <c r="J942" i="1"/>
  <c r="O957" i="1"/>
  <c r="N980" i="1"/>
  <c r="K992" i="1"/>
  <c r="N1006" i="1"/>
  <c r="M1008" i="1"/>
  <c r="N1012" i="1"/>
  <c r="N1016" i="1"/>
  <c r="N1023" i="1"/>
  <c r="O1026" i="1"/>
  <c r="O1031" i="1"/>
  <c r="P1035" i="1"/>
  <c r="O1042" i="1"/>
  <c r="N1056" i="1"/>
  <c r="O1076" i="1"/>
  <c r="M1081" i="1"/>
  <c r="P1086" i="1"/>
  <c r="O1120" i="1"/>
  <c r="O1122" i="1"/>
  <c r="N1126" i="1"/>
  <c r="O1128" i="1"/>
  <c r="P1155" i="1"/>
  <c r="N942" i="1"/>
  <c r="N958" i="1"/>
  <c r="N981" i="1"/>
  <c r="O1006" i="1"/>
  <c r="O1008" i="1"/>
  <c r="O1027" i="1"/>
  <c r="P1042" i="1"/>
  <c r="O1056" i="1"/>
  <c r="O1078" i="1"/>
  <c r="P1081" i="1"/>
  <c r="M1089" i="1"/>
  <c r="P1123" i="1"/>
  <c r="O1126" i="1"/>
  <c r="M1132" i="1"/>
  <c r="N1139" i="1"/>
  <c r="N1151" i="1"/>
  <c r="P638" i="1"/>
  <c r="P656" i="1"/>
  <c r="P749" i="1"/>
  <c r="O844" i="1"/>
  <c r="O981" i="1"/>
  <c r="N1007" i="1"/>
  <c r="M1028" i="1"/>
  <c r="P1043" i="1"/>
  <c r="O1057" i="1"/>
  <c r="N1127" i="1"/>
  <c r="L64" i="1"/>
  <c r="L62" i="1"/>
  <c r="K64" i="1"/>
  <c r="J70" i="1"/>
  <c r="M269" i="1"/>
  <c r="J315" i="1"/>
  <c r="M332" i="1"/>
  <c r="M339" i="1"/>
  <c r="N340" i="1"/>
  <c r="M444" i="1"/>
  <c r="O443" i="1"/>
  <c r="O442" i="1"/>
  <c r="M481" i="1"/>
  <c r="M482" i="1"/>
  <c r="P480" i="1"/>
  <c r="O692" i="1"/>
  <c r="N691" i="1"/>
  <c r="O690" i="1"/>
  <c r="P746" i="1"/>
  <c r="N746" i="1"/>
  <c r="M745" i="1"/>
  <c r="O746" i="1"/>
  <c r="O744" i="1"/>
  <c r="M746" i="1"/>
  <c r="N744" i="1"/>
  <c r="O745" i="1"/>
  <c r="M744" i="1"/>
  <c r="L759" i="1"/>
  <c r="K760" i="1"/>
  <c r="L758" i="1"/>
  <c r="M854" i="1"/>
  <c r="M853" i="1"/>
  <c r="P852" i="1"/>
  <c r="L1106" i="1"/>
  <c r="K1108" i="1"/>
  <c r="L1107" i="1"/>
  <c r="L1108" i="1"/>
  <c r="J187" i="1"/>
  <c r="P240" i="1"/>
  <c r="M246" i="1"/>
  <c r="J248" i="1"/>
  <c r="O248" i="1"/>
  <c r="M250" i="1"/>
  <c r="M257" i="1"/>
  <c r="N258" i="1"/>
  <c r="P260" i="1"/>
  <c r="P264" i="1"/>
  <c r="M268" i="1"/>
  <c r="N269" i="1"/>
  <c r="O270" i="1"/>
  <c r="O276" i="1"/>
  <c r="M278" i="1"/>
  <c r="N280" i="1"/>
  <c r="O281" i="1"/>
  <c r="O285" i="1"/>
  <c r="P298" i="1"/>
  <c r="P300" i="1"/>
  <c r="J304" i="1"/>
  <c r="N306" i="1"/>
  <c r="O307" i="1"/>
  <c r="J311" i="1"/>
  <c r="O314" i="1"/>
  <c r="M316" i="1"/>
  <c r="N318" i="1"/>
  <c r="M320" i="1"/>
  <c r="P322" i="1"/>
  <c r="O326" i="1"/>
  <c r="M328" i="1"/>
  <c r="M330" i="1"/>
  <c r="N332" i="1"/>
  <c r="O334" i="1"/>
  <c r="M336" i="1"/>
  <c r="M338" i="1"/>
  <c r="N339" i="1"/>
  <c r="O340" i="1"/>
  <c r="O342" i="1"/>
  <c r="N344" i="1"/>
  <c r="N358" i="1"/>
  <c r="P361" i="1"/>
  <c r="P362" i="1"/>
  <c r="M361" i="1"/>
  <c r="N386" i="1"/>
  <c r="M419" i="1"/>
  <c r="N427" i="1"/>
  <c r="M432" i="1"/>
  <c r="M442" i="1"/>
  <c r="J477" i="1"/>
  <c r="J479" i="1"/>
  <c r="J480" i="1" s="1"/>
  <c r="J478" i="1"/>
  <c r="M480" i="1"/>
  <c r="M498" i="1"/>
  <c r="N497" i="1"/>
  <c r="O498" i="1"/>
  <c r="O496" i="1"/>
  <c r="O522" i="1"/>
  <c r="P522" i="1"/>
  <c r="O521" i="1"/>
  <c r="P520" i="1"/>
  <c r="P594" i="1"/>
  <c r="M594" i="1"/>
  <c r="O592" i="1"/>
  <c r="O593" i="1"/>
  <c r="N592" i="1"/>
  <c r="O594" i="1"/>
  <c r="N593" i="1"/>
  <c r="M592" i="1"/>
  <c r="P614" i="1"/>
  <c r="M614" i="1"/>
  <c r="O612" i="1"/>
  <c r="O613" i="1"/>
  <c r="N612" i="1"/>
  <c r="O614" i="1"/>
  <c r="N613" i="1"/>
  <c r="M612" i="1"/>
  <c r="P692" i="1"/>
  <c r="N745" i="1"/>
  <c r="P862" i="1"/>
  <c r="O861" i="1"/>
  <c r="N860" i="1"/>
  <c r="O862" i="1"/>
  <c r="M861" i="1"/>
  <c r="N862" i="1"/>
  <c r="O860" i="1"/>
  <c r="M862" i="1"/>
  <c r="M860" i="1"/>
  <c r="N884" i="1"/>
  <c r="N883" i="1"/>
  <c r="O240" i="1"/>
  <c r="N270" i="1"/>
  <c r="L178" i="1"/>
  <c r="P241" i="1"/>
  <c r="M249" i="1"/>
  <c r="N250" i="1"/>
  <c r="P261" i="1"/>
  <c r="N268" i="1"/>
  <c r="O269" i="1"/>
  <c r="M277" i="1"/>
  <c r="N278" i="1"/>
  <c r="O280" i="1"/>
  <c r="M282" i="1"/>
  <c r="J306" i="1"/>
  <c r="O306" i="1"/>
  <c r="M308" i="1"/>
  <c r="M315" i="1"/>
  <c r="N316" i="1"/>
  <c r="P318" i="1"/>
  <c r="P320" i="1"/>
  <c r="M323" i="1"/>
  <c r="M327" i="1"/>
  <c r="N328" i="1"/>
  <c r="P330" i="1"/>
  <c r="P332" i="1"/>
  <c r="M335" i="1"/>
  <c r="N336" i="1"/>
  <c r="N338" i="1"/>
  <c r="O339" i="1"/>
  <c r="P342" i="1"/>
  <c r="P344" i="1"/>
  <c r="M381" i="1"/>
  <c r="P382" i="1"/>
  <c r="P380" i="1"/>
  <c r="P440" i="1"/>
  <c r="O439" i="1"/>
  <c r="N438" i="1"/>
  <c r="O440" i="1"/>
  <c r="N439" i="1"/>
  <c r="M438" i="1"/>
  <c r="N440" i="1"/>
  <c r="P443" i="1"/>
  <c r="P463" i="1"/>
  <c r="P462" i="1"/>
  <c r="P464" i="1"/>
  <c r="O462" i="1"/>
  <c r="P482" i="1"/>
  <c r="P512" i="1"/>
  <c r="P514" i="1"/>
  <c r="M512" i="1"/>
  <c r="O580" i="1"/>
  <c r="P579" i="1"/>
  <c r="M593" i="1"/>
  <c r="M613" i="1"/>
  <c r="P706" i="1"/>
  <c r="O705" i="1"/>
  <c r="P704" i="1"/>
  <c r="P722" i="1"/>
  <c r="M722" i="1"/>
  <c r="O720" i="1"/>
  <c r="O721" i="1"/>
  <c r="N720" i="1"/>
  <c r="O722" i="1"/>
  <c r="N721" i="1"/>
  <c r="M720" i="1"/>
  <c r="N861" i="1"/>
  <c r="O866" i="1"/>
  <c r="P866" i="1"/>
  <c r="P864" i="1"/>
  <c r="O865" i="1"/>
  <c r="O864" i="1"/>
  <c r="N866" i="1"/>
  <c r="N864" i="1"/>
  <c r="P949" i="1"/>
  <c r="M948" i="1"/>
  <c r="P950" i="1"/>
  <c r="N948" i="1"/>
  <c r="M950" i="1"/>
  <c r="N949" i="1"/>
  <c r="P948" i="1"/>
  <c r="O268" i="1"/>
  <c r="M270" i="1"/>
  <c r="M281" i="1"/>
  <c r="N282" i="1"/>
  <c r="J303" i="1"/>
  <c r="M307" i="1"/>
  <c r="N308" i="1"/>
  <c r="J307" i="1"/>
  <c r="O338" i="1"/>
  <c r="M340" i="1"/>
  <c r="O343" i="1"/>
  <c r="N385" i="1"/>
  <c r="P384" i="1"/>
  <c r="O400" i="1"/>
  <c r="P401" i="1"/>
  <c r="P420" i="1"/>
  <c r="M420" i="1"/>
  <c r="O418" i="1"/>
  <c r="O419" i="1"/>
  <c r="N418" i="1"/>
  <c r="N420" i="1"/>
  <c r="P428" i="1"/>
  <c r="P426" i="1"/>
  <c r="M428" i="1"/>
  <c r="N426" i="1"/>
  <c r="M431" i="1"/>
  <c r="P430" i="1"/>
  <c r="P444" i="1"/>
  <c r="N460" i="1"/>
  <c r="O459" i="1"/>
  <c r="P488" i="1"/>
  <c r="P490" i="1"/>
  <c r="M488" i="1"/>
  <c r="P504" i="1"/>
  <c r="P506" i="1"/>
  <c r="O504" i="1"/>
  <c r="P560" i="1"/>
  <c r="M560" i="1"/>
  <c r="O558" i="1"/>
  <c r="O559" i="1"/>
  <c r="N558" i="1"/>
  <c r="O560" i="1"/>
  <c r="N559" i="1"/>
  <c r="M558" i="1"/>
  <c r="P572" i="1"/>
  <c r="M572" i="1"/>
  <c r="O570" i="1"/>
  <c r="O571" i="1"/>
  <c r="N570" i="1"/>
  <c r="O572" i="1"/>
  <c r="N571" i="1"/>
  <c r="M570" i="1"/>
  <c r="O634" i="1"/>
  <c r="N633" i="1"/>
  <c r="P632" i="1"/>
  <c r="J827" i="1"/>
  <c r="J825" i="1"/>
  <c r="J824" i="1"/>
  <c r="P838" i="1"/>
  <c r="O837" i="1"/>
  <c r="N836" i="1"/>
  <c r="O838" i="1"/>
  <c r="M837" i="1"/>
  <c r="N838" i="1"/>
  <c r="O836" i="1"/>
  <c r="M838" i="1"/>
  <c r="M836" i="1"/>
  <c r="P952" i="1"/>
  <c r="O954" i="1"/>
  <c r="M953" i="1"/>
  <c r="O373" i="1"/>
  <c r="M377" i="1"/>
  <c r="N378" i="1"/>
  <c r="M389" i="1"/>
  <c r="N390" i="1"/>
  <c r="O394" i="1"/>
  <c r="N398" i="1"/>
  <c r="O414" i="1"/>
  <c r="M416" i="1"/>
  <c r="J419" i="1"/>
  <c r="O423" i="1"/>
  <c r="O447" i="1"/>
  <c r="O477" i="1"/>
  <c r="O484" i="1"/>
  <c r="M486" i="1"/>
  <c r="O494" i="1"/>
  <c r="P510" i="1"/>
  <c r="P518" i="1"/>
  <c r="P534" i="1"/>
  <c r="O538" i="1"/>
  <c r="M540" i="1"/>
  <c r="N543" i="1"/>
  <c r="M547" i="1"/>
  <c r="N548" i="1"/>
  <c r="O556" i="1"/>
  <c r="M564" i="1"/>
  <c r="N566" i="1"/>
  <c r="O567" i="1"/>
  <c r="N588" i="1"/>
  <c r="O589" i="1"/>
  <c r="J595" i="1"/>
  <c r="P598" i="1"/>
  <c r="O604" i="1"/>
  <c r="M606" i="1"/>
  <c r="P608" i="1"/>
  <c r="M617" i="1"/>
  <c r="N621" i="1"/>
  <c r="O624" i="1"/>
  <c r="M626" i="1"/>
  <c r="P628" i="1"/>
  <c r="N655" i="1"/>
  <c r="N658" i="1"/>
  <c r="O659" i="1"/>
  <c r="O667" i="1"/>
  <c r="N672" i="1"/>
  <c r="M713" i="1"/>
  <c r="N714" i="1"/>
  <c r="O717" i="1"/>
  <c r="M733" i="1"/>
  <c r="N734" i="1"/>
  <c r="P737" i="1"/>
  <c r="N740" i="1"/>
  <c r="O741" i="1"/>
  <c r="P776" i="1"/>
  <c r="O782" i="1"/>
  <c r="N784" i="1"/>
  <c r="M792" i="1"/>
  <c r="O792" i="1"/>
  <c r="O790" i="1"/>
  <c r="N792" i="1"/>
  <c r="P800" i="1"/>
  <c r="P798" i="1"/>
  <c r="P799" i="1"/>
  <c r="P803" i="1"/>
  <c r="M802" i="1"/>
  <c r="M804" i="1"/>
  <c r="P822" i="1"/>
  <c r="P820" i="1"/>
  <c r="P821" i="1"/>
  <c r="P830" i="1"/>
  <c r="M830" i="1"/>
  <c r="O828" i="1"/>
  <c r="N829" i="1"/>
  <c r="M842" i="1"/>
  <c r="N840" i="1"/>
  <c r="P841" i="1"/>
  <c r="P845" i="1"/>
  <c r="O894" i="1"/>
  <c r="P900" i="1"/>
  <c r="M900" i="1"/>
  <c r="O898" i="1"/>
  <c r="N899" i="1"/>
  <c r="N904" i="1"/>
  <c r="M904" i="1"/>
  <c r="O928" i="1"/>
  <c r="P928" i="1"/>
  <c r="P944" i="1"/>
  <c r="O1040" i="1"/>
  <c r="N1040" i="1"/>
  <c r="N372" i="1"/>
  <c r="M376" i="1"/>
  <c r="N377" i="1"/>
  <c r="O378" i="1"/>
  <c r="M388" i="1"/>
  <c r="N389" i="1"/>
  <c r="O390" i="1"/>
  <c r="N396" i="1"/>
  <c r="M415" i="1"/>
  <c r="N416" i="1"/>
  <c r="M422" i="1"/>
  <c r="N446" i="1"/>
  <c r="N476" i="1"/>
  <c r="N478" i="1"/>
  <c r="M485" i="1"/>
  <c r="N486" i="1"/>
  <c r="P494" i="1"/>
  <c r="M508" i="1"/>
  <c r="O535" i="1"/>
  <c r="M539" i="1"/>
  <c r="N540" i="1"/>
  <c r="O543" i="1"/>
  <c r="M546" i="1"/>
  <c r="N547" i="1"/>
  <c r="O548" i="1"/>
  <c r="O554" i="1"/>
  <c r="P564" i="1"/>
  <c r="O566" i="1"/>
  <c r="M568" i="1"/>
  <c r="O588" i="1"/>
  <c r="M590" i="1"/>
  <c r="P604" i="1"/>
  <c r="P606" i="1"/>
  <c r="P609" i="1"/>
  <c r="P622" i="1"/>
  <c r="P624" i="1"/>
  <c r="P626" i="1"/>
  <c r="P629" i="1"/>
  <c r="O638" i="1"/>
  <c r="M654" i="1"/>
  <c r="O658" i="1"/>
  <c r="M660" i="1"/>
  <c r="M662" i="1"/>
  <c r="M666" i="1"/>
  <c r="M712" i="1"/>
  <c r="N713" i="1"/>
  <c r="O714" i="1"/>
  <c r="N716" i="1"/>
  <c r="N718" i="1"/>
  <c r="M732" i="1"/>
  <c r="N733" i="1"/>
  <c r="O734" i="1"/>
  <c r="O740" i="1"/>
  <c r="M742" i="1"/>
  <c r="O774" i="1"/>
  <c r="M780" i="1"/>
  <c r="N780" i="1"/>
  <c r="N778" i="1"/>
  <c r="O780" i="1"/>
  <c r="M783" i="1"/>
  <c r="N790" i="1"/>
  <c r="M798" i="1"/>
  <c r="M800" i="1"/>
  <c r="N802" i="1"/>
  <c r="P804" i="1"/>
  <c r="P812" i="1"/>
  <c r="M820" i="1"/>
  <c r="M822" i="1"/>
  <c r="M828" i="1"/>
  <c r="O829" i="1"/>
  <c r="M840" i="1"/>
  <c r="P842" i="1"/>
  <c r="M846" i="1"/>
  <c r="P912" i="1"/>
  <c r="O912" i="1"/>
  <c r="N911" i="1"/>
  <c r="M910" i="1"/>
  <c r="N912" i="1"/>
  <c r="O910" i="1"/>
  <c r="M912" i="1"/>
  <c r="P942" i="1"/>
  <c r="M942" i="1"/>
  <c r="O940" i="1"/>
  <c r="O942" i="1"/>
  <c r="M941" i="1"/>
  <c r="O941" i="1"/>
  <c r="P962" i="1"/>
  <c r="O962" i="1"/>
  <c r="N961" i="1"/>
  <c r="M960" i="1"/>
  <c r="M962" i="1"/>
  <c r="N960" i="1"/>
  <c r="N962" i="1"/>
  <c r="M567" i="1"/>
  <c r="N568" i="1"/>
  <c r="M589" i="1"/>
  <c r="N590" i="1"/>
  <c r="M659" i="1"/>
  <c r="N660" i="1"/>
  <c r="M741" i="1"/>
  <c r="N742" i="1"/>
  <c r="P784" i="1"/>
  <c r="O783" i="1"/>
  <c r="N782" i="1"/>
  <c r="N783" i="1"/>
  <c r="P896" i="1"/>
  <c r="P894" i="1"/>
  <c r="P895" i="1"/>
  <c r="P906" i="1"/>
  <c r="P907" i="1"/>
  <c r="P945" i="1"/>
  <c r="M944" i="1"/>
  <c r="O945" i="1"/>
  <c r="P946" i="1"/>
  <c r="O960" i="1"/>
  <c r="P985" i="1"/>
  <c r="P984" i="1"/>
  <c r="O985" i="1"/>
  <c r="O984" i="1"/>
  <c r="O1073" i="1"/>
  <c r="O1072" i="1"/>
  <c r="O1074" i="1"/>
  <c r="N1072" i="1"/>
  <c r="P966" i="1"/>
  <c r="O964" i="1"/>
  <c r="O966" i="1"/>
  <c r="O996" i="1"/>
  <c r="P1054" i="1"/>
  <c r="O1053" i="1"/>
  <c r="N1052" i="1"/>
  <c r="O1054" i="1"/>
  <c r="N1053" i="1"/>
  <c r="M1052" i="1"/>
  <c r="N1054" i="1"/>
  <c r="M1061" i="1"/>
  <c r="O1060" i="1"/>
  <c r="O749" i="1"/>
  <c r="O771" i="1"/>
  <c r="M849" i="1"/>
  <c r="N850" i="1"/>
  <c r="M857" i="1"/>
  <c r="N858" i="1"/>
  <c r="J943" i="1"/>
  <c r="J946" i="1" s="1"/>
  <c r="M964" i="1"/>
  <c r="P970" i="1"/>
  <c r="P968" i="1"/>
  <c r="P969" i="1"/>
  <c r="O994" i="1"/>
  <c r="J1001" i="1"/>
  <c r="J1003" i="1" s="1"/>
  <c r="P1012" i="1"/>
  <c r="O1052" i="1"/>
  <c r="P1061" i="1"/>
  <c r="P1064" i="1"/>
  <c r="N995" i="1"/>
  <c r="M1004" i="1"/>
  <c r="N1002" i="1"/>
  <c r="P1003" i="1"/>
  <c r="M1053" i="1"/>
  <c r="J1059" i="1"/>
  <c r="J1058" i="1"/>
  <c r="P1134" i="1"/>
  <c r="P1136" i="1"/>
  <c r="M1135" i="1"/>
  <c r="O1015" i="1"/>
  <c r="M1027" i="1"/>
  <c r="N1028" i="1"/>
  <c r="L1049" i="1"/>
  <c r="M1057" i="1"/>
  <c r="N1058" i="1"/>
  <c r="M1076" i="1"/>
  <c r="O1077" i="1"/>
  <c r="M1088" i="1"/>
  <c r="P1090" i="1"/>
  <c r="P1114" i="1"/>
  <c r="O1119" i="1"/>
  <c r="M1131" i="1"/>
  <c r="N1132" i="1"/>
  <c r="N1138" i="1"/>
  <c r="N1140" i="1"/>
  <c r="N1142" i="1"/>
  <c r="O1143" i="1"/>
  <c r="N1146" i="1"/>
  <c r="N1148" i="1"/>
  <c r="O1151" i="1"/>
  <c r="N1156" i="1"/>
  <c r="M937" i="1"/>
  <c r="N938" i="1"/>
  <c r="M1007" i="1"/>
  <c r="N1008" i="1"/>
  <c r="M1014" i="1"/>
  <c r="M1026" i="1"/>
  <c r="N1027" i="1"/>
  <c r="O1028" i="1"/>
  <c r="P1044" i="1"/>
  <c r="K1050" i="1"/>
  <c r="M1056" i="1"/>
  <c r="N1057" i="1"/>
  <c r="O1058" i="1"/>
  <c r="N1076" i="1"/>
  <c r="N1078" i="1"/>
  <c r="P1088" i="1"/>
  <c r="N1118" i="1"/>
  <c r="N1120" i="1"/>
  <c r="O1127" i="1"/>
  <c r="M1130" i="1"/>
  <c r="N1131" i="1"/>
  <c r="O1132" i="1"/>
  <c r="O1138" i="1"/>
  <c r="O1140" i="1"/>
  <c r="O1142" i="1"/>
  <c r="M1144" i="1"/>
  <c r="O1146" i="1"/>
  <c r="O1148" i="1"/>
  <c r="N1150" i="1"/>
  <c r="N1152" i="1"/>
  <c r="O1154" i="1"/>
  <c r="M1143" i="1"/>
  <c r="N1144" i="1"/>
  <c r="N1147" i="1"/>
  <c r="O1150" i="1"/>
  <c r="O1152" i="1"/>
  <c r="P1154" i="1"/>
  <c r="N1077" i="1"/>
  <c r="O1139" i="1"/>
  <c r="M1142" i="1"/>
  <c r="N1143" i="1"/>
  <c r="O1144" i="1"/>
  <c r="O1147" i="1"/>
  <c r="N182" i="1"/>
  <c r="L179" i="1"/>
  <c r="N226" i="1"/>
  <c r="N206" i="1"/>
  <c r="N208" i="1"/>
  <c r="P222" i="1"/>
  <c r="N188" i="1"/>
  <c r="P198" i="1"/>
  <c r="O206" i="1"/>
  <c r="P208" i="1"/>
  <c r="P206" i="1"/>
  <c r="P207" i="1"/>
  <c r="N222" i="1"/>
  <c r="O228" i="1"/>
  <c r="P182" i="1"/>
  <c r="P184" i="1"/>
  <c r="N194" i="1"/>
  <c r="O195" i="1"/>
  <c r="P211" i="1"/>
  <c r="M216" i="1"/>
  <c r="P219" i="1"/>
  <c r="P223" i="1"/>
  <c r="O226" i="1"/>
  <c r="P228" i="1"/>
  <c r="P230" i="1"/>
  <c r="O183" i="1"/>
  <c r="P186" i="1"/>
  <c r="O194" i="1"/>
  <c r="M196" i="1"/>
  <c r="M212" i="1"/>
  <c r="M220" i="1"/>
  <c r="M224" i="1"/>
  <c r="N227" i="1"/>
  <c r="O231" i="1"/>
  <c r="P183" i="1"/>
  <c r="M195" i="1"/>
  <c r="N196" i="1"/>
  <c r="N210" i="1"/>
  <c r="N218" i="1"/>
  <c r="O182" i="1"/>
  <c r="M194" i="1"/>
  <c r="N195" i="1"/>
  <c r="O196" i="1"/>
  <c r="P214" i="1"/>
  <c r="M166" i="1"/>
  <c r="M146" i="1"/>
  <c r="M152" i="1"/>
  <c r="O126" i="1"/>
  <c r="M128" i="1"/>
  <c r="N162" i="1"/>
  <c r="O128" i="1"/>
  <c r="O129" i="1"/>
  <c r="M164" i="1"/>
  <c r="M153" i="1"/>
  <c r="P130" i="1"/>
  <c r="P140" i="1"/>
  <c r="M154" i="1"/>
  <c r="N160" i="1"/>
  <c r="M165" i="1"/>
  <c r="M88" i="1"/>
  <c r="O74" i="1"/>
  <c r="O75" i="1"/>
  <c r="M78" i="1"/>
  <c r="P82" i="1"/>
  <c r="M80" i="1"/>
  <c r="J427" i="1"/>
  <c r="J429" i="1"/>
  <c r="O192" i="1"/>
  <c r="O191" i="1"/>
  <c r="O190" i="1"/>
  <c r="M191" i="1"/>
  <c r="N192" i="1"/>
  <c r="N204" i="1"/>
  <c r="N203" i="1"/>
  <c r="N202" i="1"/>
  <c r="M203" i="1"/>
  <c r="O204" i="1"/>
  <c r="M254" i="1"/>
  <c r="M253" i="1"/>
  <c r="M252" i="1"/>
  <c r="N253" i="1"/>
  <c r="O254" i="1"/>
  <c r="L238" i="1"/>
  <c r="L237" i="1"/>
  <c r="O274" i="1"/>
  <c r="O273" i="1"/>
  <c r="O272" i="1"/>
  <c r="M273" i="1"/>
  <c r="N274" i="1"/>
  <c r="O365" i="1"/>
  <c r="O200" i="1"/>
  <c r="O199" i="1"/>
  <c r="O198" i="1"/>
  <c r="M199" i="1"/>
  <c r="N200" i="1"/>
  <c r="M202" i="1"/>
  <c r="O203" i="1"/>
  <c r="P204" i="1"/>
  <c r="M215" i="1"/>
  <c r="O216" i="1"/>
  <c r="N266" i="1"/>
  <c r="N265" i="1"/>
  <c r="N264" i="1"/>
  <c r="M272" i="1"/>
  <c r="N273" i="1"/>
  <c r="P274" i="1"/>
  <c r="N304" i="1"/>
  <c r="N303" i="1"/>
  <c r="N302" i="1"/>
  <c r="P304" i="1"/>
  <c r="O303" i="1"/>
  <c r="M302" i="1"/>
  <c r="P303" i="1"/>
  <c r="N361" i="1"/>
  <c r="P365" i="1"/>
  <c r="P369" i="1"/>
  <c r="M436" i="1"/>
  <c r="M435" i="1"/>
  <c r="M434" i="1"/>
  <c r="P435" i="1"/>
  <c r="O434" i="1"/>
  <c r="O435" i="1"/>
  <c r="P450" i="1"/>
  <c r="M474" i="1"/>
  <c r="M473" i="1"/>
  <c r="M472" i="1"/>
  <c r="N474" i="1"/>
  <c r="P472" i="1"/>
  <c r="P473" i="1"/>
  <c r="O472" i="1"/>
  <c r="O676" i="1"/>
  <c r="O675" i="1"/>
  <c r="O674" i="1"/>
  <c r="P675" i="1"/>
  <c r="N674" i="1"/>
  <c r="P676" i="1"/>
  <c r="N675" i="1"/>
  <c r="M674" i="1"/>
  <c r="M676" i="1"/>
  <c r="M675" i="1"/>
  <c r="P674" i="1"/>
  <c r="M1000" i="1"/>
  <c r="M999" i="1"/>
  <c r="M998" i="1"/>
  <c r="N1000" i="1"/>
  <c r="P998" i="1"/>
  <c r="O1000" i="1"/>
  <c r="O998" i="1"/>
  <c r="P999" i="1"/>
  <c r="N998" i="1"/>
  <c r="O999" i="1"/>
  <c r="N999" i="1"/>
  <c r="P1000" i="1"/>
  <c r="P191" i="1"/>
  <c r="O212" i="1"/>
  <c r="O211" i="1"/>
  <c r="O210" i="1"/>
  <c r="M214" i="1"/>
  <c r="O220" i="1"/>
  <c r="O219" i="1"/>
  <c r="O218" i="1"/>
  <c r="M219" i="1"/>
  <c r="N220" i="1"/>
  <c r="K238" i="1"/>
  <c r="N242" i="1"/>
  <c r="N241" i="1"/>
  <c r="N240" i="1"/>
  <c r="M241" i="1"/>
  <c r="O242" i="1"/>
  <c r="M244" i="1"/>
  <c r="O245" i="1"/>
  <c r="O252" i="1"/>
  <c r="P253" i="1"/>
  <c r="O262" i="1"/>
  <c r="O261" i="1"/>
  <c r="O260" i="1"/>
  <c r="M261" i="1"/>
  <c r="N262" i="1"/>
  <c r="M264" i="1"/>
  <c r="O265" i="1"/>
  <c r="P266" i="1"/>
  <c r="N272" i="1"/>
  <c r="P273" i="1"/>
  <c r="O302" i="1"/>
  <c r="M304" i="1"/>
  <c r="N310" i="1"/>
  <c r="P348" i="1"/>
  <c r="P346" i="1"/>
  <c r="P347" i="1"/>
  <c r="M360" i="1"/>
  <c r="J365" i="1"/>
  <c r="J366" i="1"/>
  <c r="J364" i="1"/>
  <c r="O364" i="1"/>
  <c r="J367" i="1"/>
  <c r="O368" i="1"/>
  <c r="M394" i="1"/>
  <c r="M393" i="1"/>
  <c r="M392" i="1"/>
  <c r="P393" i="1"/>
  <c r="O392" i="1"/>
  <c r="O393" i="1"/>
  <c r="N434" i="1"/>
  <c r="N436" i="1"/>
  <c r="M454" i="1"/>
  <c r="N472" i="1"/>
  <c r="P474" i="1"/>
  <c r="J483" i="1"/>
  <c r="K470" i="1"/>
  <c r="K468" i="1" s="1"/>
  <c r="L469" i="1"/>
  <c r="J657" i="1"/>
  <c r="J654" i="1"/>
  <c r="J656" i="1"/>
  <c r="J655" i="1"/>
  <c r="N676" i="1"/>
  <c r="O788" i="1"/>
  <c r="O787" i="1"/>
  <c r="O786" i="1"/>
  <c r="N788" i="1"/>
  <c r="N787" i="1"/>
  <c r="N786" i="1"/>
  <c r="P788" i="1"/>
  <c r="P786" i="1"/>
  <c r="M788" i="1"/>
  <c r="M786" i="1"/>
  <c r="P787" i="1"/>
  <c r="M787" i="1"/>
  <c r="M366" i="1"/>
  <c r="M365" i="1"/>
  <c r="M364" i="1"/>
  <c r="N366" i="1"/>
  <c r="P364" i="1"/>
  <c r="N370" i="1"/>
  <c r="N369" i="1"/>
  <c r="N368" i="1"/>
  <c r="M370" i="1"/>
  <c r="P368" i="1"/>
  <c r="O369" i="1"/>
  <c r="J424" i="1"/>
  <c r="N452" i="1"/>
  <c r="N451" i="1"/>
  <c r="N450" i="1"/>
  <c r="P451" i="1"/>
  <c r="O450" i="1"/>
  <c r="P452" i="1"/>
  <c r="O451" i="1"/>
  <c r="M450" i="1"/>
  <c r="O452" i="1"/>
  <c r="K644" i="1"/>
  <c r="L642" i="1"/>
  <c r="L644" i="1"/>
  <c r="L643" i="1"/>
  <c r="M888" i="1"/>
  <c r="M887" i="1"/>
  <c r="M886" i="1"/>
  <c r="N888" i="1"/>
  <c r="P886" i="1"/>
  <c r="P887" i="1"/>
  <c r="O886" i="1"/>
  <c r="O887" i="1"/>
  <c r="N887" i="1"/>
  <c r="P888" i="1"/>
  <c r="O888" i="1"/>
  <c r="N886" i="1"/>
  <c r="P924" i="1"/>
  <c r="O923" i="1"/>
  <c r="N922" i="1"/>
  <c r="O924" i="1"/>
  <c r="P922" i="1"/>
  <c r="N924" i="1"/>
  <c r="O922" i="1"/>
  <c r="P923" i="1"/>
  <c r="N923" i="1"/>
  <c r="M188" i="1"/>
  <c r="M187" i="1"/>
  <c r="M186" i="1"/>
  <c r="N187" i="1"/>
  <c r="O188" i="1"/>
  <c r="M190" i="1"/>
  <c r="N191" i="1"/>
  <c r="P192" i="1"/>
  <c r="N216" i="1"/>
  <c r="N215" i="1"/>
  <c r="N214" i="1"/>
  <c r="N246" i="1"/>
  <c r="N245" i="1"/>
  <c r="N244" i="1"/>
  <c r="M245" i="1"/>
  <c r="O246" i="1"/>
  <c r="N252" i="1"/>
  <c r="O253" i="1"/>
  <c r="P254" i="1"/>
  <c r="M265" i="1"/>
  <c r="O266" i="1"/>
  <c r="M312" i="1"/>
  <c r="M311" i="1"/>
  <c r="M310" i="1"/>
  <c r="P311" i="1"/>
  <c r="O310" i="1"/>
  <c r="O311" i="1"/>
  <c r="O362" i="1"/>
  <c r="O361" i="1"/>
  <c r="O360" i="1"/>
  <c r="M362" i="1"/>
  <c r="P360" i="1"/>
  <c r="N364" i="1"/>
  <c r="M368" i="1"/>
  <c r="P402" i="1"/>
  <c r="O401" i="1"/>
  <c r="N400" i="1"/>
  <c r="O402" i="1"/>
  <c r="P400" i="1"/>
  <c r="N402" i="1"/>
  <c r="N456" i="1"/>
  <c r="N455" i="1"/>
  <c r="N454" i="1"/>
  <c r="M456" i="1"/>
  <c r="P454" i="1"/>
  <c r="P455" i="1"/>
  <c r="O454" i="1"/>
  <c r="O456" i="1"/>
  <c r="O474" i="1"/>
  <c r="O502" i="1"/>
  <c r="O501" i="1"/>
  <c r="O500" i="1"/>
  <c r="N502" i="1"/>
  <c r="N501" i="1"/>
  <c r="N500" i="1"/>
  <c r="P502" i="1"/>
  <c r="P500" i="1"/>
  <c r="M502" i="1"/>
  <c r="M500" i="1"/>
  <c r="O880" i="1"/>
  <c r="O879" i="1"/>
  <c r="O878" i="1"/>
  <c r="P879" i="1"/>
  <c r="N878" i="1"/>
  <c r="P880" i="1"/>
  <c r="N879" i="1"/>
  <c r="M878" i="1"/>
  <c r="M880" i="1"/>
  <c r="M879" i="1"/>
  <c r="N880" i="1"/>
  <c r="P878" i="1"/>
  <c r="N186" i="1"/>
  <c r="O187" i="1"/>
  <c r="N190" i="1"/>
  <c r="M198" i="1"/>
  <c r="N199" i="1"/>
  <c r="P200" i="1"/>
  <c r="O202" i="1"/>
  <c r="P203" i="1"/>
  <c r="M211" i="1"/>
  <c r="N212" i="1"/>
  <c r="O215" i="1"/>
  <c r="O224" i="1"/>
  <c r="O223" i="1"/>
  <c r="O222" i="1"/>
  <c r="N224" i="1"/>
  <c r="L180" i="1"/>
  <c r="M184" i="1"/>
  <c r="M183" i="1"/>
  <c r="M182" i="1"/>
  <c r="N183" i="1"/>
  <c r="O184" i="1"/>
  <c r="O186" i="1"/>
  <c r="P187" i="1"/>
  <c r="P190" i="1"/>
  <c r="M192" i="1"/>
  <c r="N198" i="1"/>
  <c r="P199" i="1"/>
  <c r="P202" i="1"/>
  <c r="M204" i="1"/>
  <c r="M208" i="1"/>
  <c r="M207" i="1"/>
  <c r="M206" i="1"/>
  <c r="N207" i="1"/>
  <c r="O208" i="1"/>
  <c r="M210" i="1"/>
  <c r="N211" i="1"/>
  <c r="P212" i="1"/>
  <c r="O214" i="1"/>
  <c r="P215" i="1"/>
  <c r="M218" i="1"/>
  <c r="N219" i="1"/>
  <c r="P220" i="1"/>
  <c r="M222" i="1"/>
  <c r="N223" i="1"/>
  <c r="P224" i="1"/>
  <c r="N228" i="1"/>
  <c r="P226" i="1"/>
  <c r="O227" i="1"/>
  <c r="O232" i="1"/>
  <c r="O230" i="1"/>
  <c r="P232" i="1"/>
  <c r="L236" i="1"/>
  <c r="M240" i="1"/>
  <c r="O241" i="1"/>
  <c r="P242" i="1"/>
  <c r="O244" i="1"/>
  <c r="P245" i="1"/>
  <c r="J252" i="1"/>
  <c r="P252" i="1"/>
  <c r="N254" i="1"/>
  <c r="M260" i="1"/>
  <c r="N261" i="1"/>
  <c r="P262" i="1"/>
  <c r="O264" i="1"/>
  <c r="P265" i="1"/>
  <c r="P272" i="1"/>
  <c r="M274" i="1"/>
  <c r="P290" i="1"/>
  <c r="P288" i="1"/>
  <c r="O290" i="1"/>
  <c r="P302" i="1"/>
  <c r="O304" i="1"/>
  <c r="P310" i="1"/>
  <c r="O312" i="1"/>
  <c r="N324" i="1"/>
  <c r="N323" i="1"/>
  <c r="N322" i="1"/>
  <c r="P324" i="1"/>
  <c r="O323" i="1"/>
  <c r="M322" i="1"/>
  <c r="P323" i="1"/>
  <c r="O332" i="1"/>
  <c r="O331" i="1"/>
  <c r="O330" i="1"/>
  <c r="P331" i="1"/>
  <c r="N330" i="1"/>
  <c r="N331" i="1"/>
  <c r="O346" i="1"/>
  <c r="O358" i="1"/>
  <c r="O357" i="1"/>
  <c r="O356" i="1"/>
  <c r="P357" i="1"/>
  <c r="N356" i="1"/>
  <c r="N357" i="1"/>
  <c r="J362" i="1"/>
  <c r="J361" i="1"/>
  <c r="J360" i="1"/>
  <c r="N360" i="1"/>
  <c r="N362" i="1"/>
  <c r="N365" i="1"/>
  <c r="P366" i="1"/>
  <c r="M369" i="1"/>
  <c r="P370" i="1"/>
  <c r="O382" i="1"/>
  <c r="O381" i="1"/>
  <c r="O380" i="1"/>
  <c r="P381" i="1"/>
  <c r="N380" i="1"/>
  <c r="N381" i="1"/>
  <c r="M386" i="1"/>
  <c r="M385" i="1"/>
  <c r="M384" i="1"/>
  <c r="P386" i="1"/>
  <c r="O385" i="1"/>
  <c r="N384" i="1"/>
  <c r="P385" i="1"/>
  <c r="N392" i="1"/>
  <c r="N394" i="1"/>
  <c r="M398" i="1"/>
  <c r="M397" i="1"/>
  <c r="M396" i="1"/>
  <c r="P397" i="1"/>
  <c r="O396" i="1"/>
  <c r="O397" i="1"/>
  <c r="N401" i="1"/>
  <c r="O405" i="1"/>
  <c r="P405" i="1"/>
  <c r="P406" i="1"/>
  <c r="N432" i="1"/>
  <c r="N431" i="1"/>
  <c r="N430" i="1"/>
  <c r="P432" i="1"/>
  <c r="O431" i="1"/>
  <c r="M430" i="1"/>
  <c r="P431" i="1"/>
  <c r="P434" i="1"/>
  <c r="O436" i="1"/>
  <c r="M452" i="1"/>
  <c r="M455" i="1"/>
  <c r="P459" i="1"/>
  <c r="O458" i="1"/>
  <c r="P460" i="1"/>
  <c r="N459" i="1"/>
  <c r="O460" i="1"/>
  <c r="P458" i="1"/>
  <c r="L468" i="1"/>
  <c r="N473" i="1"/>
  <c r="P501" i="1"/>
  <c r="J537" i="1"/>
  <c r="J535" i="1"/>
  <c r="J534" i="1"/>
  <c r="J536" i="1"/>
  <c r="M652" i="1"/>
  <c r="M651" i="1"/>
  <c r="M650" i="1"/>
  <c r="N652" i="1"/>
  <c r="P650" i="1"/>
  <c r="P651" i="1"/>
  <c r="O650" i="1"/>
  <c r="O651" i="1"/>
  <c r="N651" i="1"/>
  <c r="P652" i="1"/>
  <c r="N650" i="1"/>
  <c r="O684" i="1"/>
  <c r="O683" i="1"/>
  <c r="O682" i="1"/>
  <c r="P683" i="1"/>
  <c r="N682" i="1"/>
  <c r="P684" i="1"/>
  <c r="N683" i="1"/>
  <c r="M682" i="1"/>
  <c r="M684" i="1"/>
  <c r="M683" i="1"/>
  <c r="P682" i="1"/>
  <c r="N532" i="1"/>
  <c r="N531" i="1"/>
  <c r="N530" i="1"/>
  <c r="M532" i="1"/>
  <c r="M531" i="1"/>
  <c r="M530" i="1"/>
  <c r="P531" i="1"/>
  <c r="O552" i="1"/>
  <c r="O551" i="1"/>
  <c r="O550" i="1"/>
  <c r="N552" i="1"/>
  <c r="N551" i="1"/>
  <c r="N550" i="1"/>
  <c r="P551" i="1"/>
  <c r="L528" i="1"/>
  <c r="L527" i="1"/>
  <c r="K528" i="1"/>
  <c r="K526" i="1" s="1"/>
  <c r="N680" i="1"/>
  <c r="N679" i="1"/>
  <c r="N678" i="1"/>
  <c r="M680" i="1"/>
  <c r="P678" i="1"/>
  <c r="P679" i="1"/>
  <c r="O678" i="1"/>
  <c r="O680" i="1"/>
  <c r="O688" i="1"/>
  <c r="O687" i="1"/>
  <c r="O686" i="1"/>
  <c r="P687" i="1"/>
  <c r="N686" i="1"/>
  <c r="P688" i="1"/>
  <c r="N687" i="1"/>
  <c r="M686" i="1"/>
  <c r="N688" i="1"/>
  <c r="M834" i="1"/>
  <c r="M833" i="1"/>
  <c r="M832" i="1"/>
  <c r="P833" i="1"/>
  <c r="O832" i="1"/>
  <c r="P834" i="1"/>
  <c r="O833" i="1"/>
  <c r="N832" i="1"/>
  <c r="N833" i="1"/>
  <c r="P832" i="1"/>
  <c r="P870" i="1"/>
  <c r="P868" i="1"/>
  <c r="P869" i="1"/>
  <c r="O869" i="1"/>
  <c r="O870" i="1"/>
  <c r="O868" i="1"/>
  <c r="O1094" i="1"/>
  <c r="O1093" i="1"/>
  <c r="O1092" i="1"/>
  <c r="N1094" i="1"/>
  <c r="N1093" i="1"/>
  <c r="N1092" i="1"/>
  <c r="M1094" i="1"/>
  <c r="M1092" i="1"/>
  <c r="M1093" i="1"/>
  <c r="P1094" i="1"/>
  <c r="P1093" i="1"/>
  <c r="P1092" i="1"/>
  <c r="P194" i="1"/>
  <c r="P195" i="1"/>
  <c r="P248" i="1"/>
  <c r="P249" i="1"/>
  <c r="P256" i="1"/>
  <c r="P257" i="1"/>
  <c r="P268" i="1"/>
  <c r="P269" i="1"/>
  <c r="P276" i="1"/>
  <c r="P277" i="1"/>
  <c r="P280" i="1"/>
  <c r="P281" i="1"/>
  <c r="N285" i="1"/>
  <c r="N300" i="1"/>
  <c r="N299" i="1"/>
  <c r="N298" i="1"/>
  <c r="M299" i="1"/>
  <c r="O300" i="1"/>
  <c r="O320" i="1"/>
  <c r="O319" i="1"/>
  <c r="O318" i="1"/>
  <c r="M319" i="1"/>
  <c r="N320" i="1"/>
  <c r="M374" i="1"/>
  <c r="M373" i="1"/>
  <c r="M372" i="1"/>
  <c r="N373" i="1"/>
  <c r="O374" i="1"/>
  <c r="N424" i="1"/>
  <c r="N423" i="1"/>
  <c r="N422" i="1"/>
  <c r="M423" i="1"/>
  <c r="O424" i="1"/>
  <c r="O428" i="1"/>
  <c r="O427" i="1"/>
  <c r="O426" i="1"/>
  <c r="M427" i="1"/>
  <c r="N428" i="1"/>
  <c r="P442" i="1"/>
  <c r="M448" i="1"/>
  <c r="M447" i="1"/>
  <c r="M446" i="1"/>
  <c r="N447" i="1"/>
  <c r="O448" i="1"/>
  <c r="O490" i="1"/>
  <c r="O489" i="1"/>
  <c r="O488" i="1"/>
  <c r="N490" i="1"/>
  <c r="N489" i="1"/>
  <c r="N488" i="1"/>
  <c r="P489" i="1"/>
  <c r="N506" i="1"/>
  <c r="N505" i="1"/>
  <c r="N504" i="1"/>
  <c r="M506" i="1"/>
  <c r="M505" i="1"/>
  <c r="M504" i="1"/>
  <c r="P505" i="1"/>
  <c r="O514" i="1"/>
  <c r="O513" i="1"/>
  <c r="O512" i="1"/>
  <c r="N514" i="1"/>
  <c r="N513" i="1"/>
  <c r="N512" i="1"/>
  <c r="P513" i="1"/>
  <c r="O530" i="1"/>
  <c r="O532" i="1"/>
  <c r="N536" i="1"/>
  <c r="N535" i="1"/>
  <c r="N534" i="1"/>
  <c r="M536" i="1"/>
  <c r="M535" i="1"/>
  <c r="M534" i="1"/>
  <c r="P535" i="1"/>
  <c r="M550" i="1"/>
  <c r="M552" i="1"/>
  <c r="N556" i="1"/>
  <c r="N555" i="1"/>
  <c r="N554" i="1"/>
  <c r="M556" i="1"/>
  <c r="M555" i="1"/>
  <c r="M554" i="1"/>
  <c r="P555" i="1"/>
  <c r="O579" i="1"/>
  <c r="P578" i="1"/>
  <c r="P580" i="1"/>
  <c r="O578" i="1"/>
  <c r="O602" i="1"/>
  <c r="O601" i="1"/>
  <c r="O600" i="1"/>
  <c r="M602" i="1"/>
  <c r="P600" i="1"/>
  <c r="P601" i="1"/>
  <c r="N600" i="1"/>
  <c r="N602" i="1"/>
  <c r="L585" i="1"/>
  <c r="L584" i="1"/>
  <c r="N618" i="1"/>
  <c r="N617" i="1"/>
  <c r="N616" i="1"/>
  <c r="P617" i="1"/>
  <c r="O616" i="1"/>
  <c r="P618" i="1"/>
  <c r="O617" i="1"/>
  <c r="M616" i="1"/>
  <c r="O618" i="1"/>
  <c r="M678" i="1"/>
  <c r="P680" i="1"/>
  <c r="P686" i="1"/>
  <c r="O738" i="1"/>
  <c r="O737" i="1"/>
  <c r="O736" i="1"/>
  <c r="N738" i="1"/>
  <c r="N737" i="1"/>
  <c r="N736" i="1"/>
  <c r="M737" i="1"/>
  <c r="P738" i="1"/>
  <c r="P736" i="1"/>
  <c r="P754" i="1"/>
  <c r="P752" i="1"/>
  <c r="O754" i="1"/>
  <c r="O752" i="1"/>
  <c r="P753" i="1"/>
  <c r="O768" i="1"/>
  <c r="O767" i="1"/>
  <c r="O766" i="1"/>
  <c r="N768" i="1"/>
  <c r="N767" i="1"/>
  <c r="N766" i="1"/>
  <c r="P768" i="1"/>
  <c r="P766" i="1"/>
  <c r="M768" i="1"/>
  <c r="M766" i="1"/>
  <c r="N834" i="1"/>
  <c r="J884" i="1"/>
  <c r="J883" i="1"/>
  <c r="J882" i="1"/>
  <c r="J885" i="1"/>
  <c r="N978" i="1"/>
  <c r="N977" i="1"/>
  <c r="N976" i="1"/>
  <c r="P977" i="1"/>
  <c r="O976" i="1"/>
  <c r="O978" i="1"/>
  <c r="P976" i="1"/>
  <c r="M978" i="1"/>
  <c r="M976" i="1"/>
  <c r="P978" i="1"/>
  <c r="O977" i="1"/>
  <c r="O1020" i="1"/>
  <c r="O1019" i="1"/>
  <c r="O1018" i="1"/>
  <c r="P1019" i="1"/>
  <c r="N1018" i="1"/>
  <c r="M1020" i="1"/>
  <c r="M1018" i="1"/>
  <c r="M1019" i="1"/>
  <c r="P1020" i="1"/>
  <c r="P1018" i="1"/>
  <c r="N1020" i="1"/>
  <c r="N1019" i="1"/>
  <c r="N444" i="1"/>
  <c r="N443" i="1"/>
  <c r="N442" i="1"/>
  <c r="M443" i="1"/>
  <c r="O444" i="1"/>
  <c r="O482" i="1"/>
  <c r="O481" i="1"/>
  <c r="O480" i="1"/>
  <c r="N482" i="1"/>
  <c r="N481" i="1"/>
  <c r="N480" i="1"/>
  <c r="P481" i="1"/>
  <c r="N494" i="1"/>
  <c r="N493" i="1"/>
  <c r="N492" i="1"/>
  <c r="M494" i="1"/>
  <c r="M493" i="1"/>
  <c r="M492" i="1"/>
  <c r="P493" i="1"/>
  <c r="O510" i="1"/>
  <c r="O509" i="1"/>
  <c r="O508" i="1"/>
  <c r="N510" i="1"/>
  <c r="N509" i="1"/>
  <c r="N508" i="1"/>
  <c r="P509" i="1"/>
  <c r="N518" i="1"/>
  <c r="P516" i="1"/>
  <c r="P517" i="1"/>
  <c r="O516" i="1"/>
  <c r="O518" i="1"/>
  <c r="P530" i="1"/>
  <c r="P532" i="1"/>
  <c r="P550" i="1"/>
  <c r="P552" i="1"/>
  <c r="O564" i="1"/>
  <c r="O563" i="1"/>
  <c r="O562" i="1"/>
  <c r="N564" i="1"/>
  <c r="N563" i="1"/>
  <c r="N562" i="1"/>
  <c r="P563" i="1"/>
  <c r="N598" i="1"/>
  <c r="N597" i="1"/>
  <c r="N596" i="1"/>
  <c r="M598" i="1"/>
  <c r="P596" i="1"/>
  <c r="P597" i="1"/>
  <c r="O596" i="1"/>
  <c r="O598" i="1"/>
  <c r="M622" i="1"/>
  <c r="M621" i="1"/>
  <c r="M620" i="1"/>
  <c r="N622" i="1"/>
  <c r="P620" i="1"/>
  <c r="P621" i="1"/>
  <c r="O620" i="1"/>
  <c r="O622" i="1"/>
  <c r="J651" i="1"/>
  <c r="J650" i="1"/>
  <c r="J652" i="1"/>
  <c r="O664" i="1"/>
  <c r="O663" i="1"/>
  <c r="O662" i="1"/>
  <c r="M664" i="1"/>
  <c r="P662" i="1"/>
  <c r="P663" i="1"/>
  <c r="N662" i="1"/>
  <c r="N664" i="1"/>
  <c r="M679" i="1"/>
  <c r="M687" i="1"/>
  <c r="J711" i="1"/>
  <c r="J709" i="1"/>
  <c r="J708" i="1"/>
  <c r="J710" i="1"/>
  <c r="N808" i="1"/>
  <c r="P806" i="1"/>
  <c r="P808" i="1"/>
  <c r="N807" i="1"/>
  <c r="O808" i="1"/>
  <c r="O806" i="1"/>
  <c r="O807" i="1"/>
  <c r="N806" i="1"/>
  <c r="O834" i="1"/>
  <c r="O884" i="1"/>
  <c r="O883" i="1"/>
  <c r="O882" i="1"/>
  <c r="M884" i="1"/>
  <c r="P882" i="1"/>
  <c r="P883" i="1"/>
  <c r="N882" i="1"/>
  <c r="M883" i="1"/>
  <c r="P884" i="1"/>
  <c r="M882" i="1"/>
  <c r="O904" i="1"/>
  <c r="O903" i="1"/>
  <c r="O902" i="1"/>
  <c r="P903" i="1"/>
  <c r="N902" i="1"/>
  <c r="P904" i="1"/>
  <c r="N903" i="1"/>
  <c r="M902" i="1"/>
  <c r="M903" i="1"/>
  <c r="P902" i="1"/>
  <c r="M916" i="1"/>
  <c r="M915" i="1"/>
  <c r="M914" i="1"/>
  <c r="P915" i="1"/>
  <c r="O914" i="1"/>
  <c r="P916" i="1"/>
  <c r="O915" i="1"/>
  <c r="N914" i="1"/>
  <c r="N915" i="1"/>
  <c r="P914" i="1"/>
  <c r="M920" i="1"/>
  <c r="M919" i="1"/>
  <c r="M918" i="1"/>
  <c r="P919" i="1"/>
  <c r="O918" i="1"/>
  <c r="P920" i="1"/>
  <c r="O919" i="1"/>
  <c r="N918" i="1"/>
  <c r="N920" i="1"/>
  <c r="N919" i="1"/>
  <c r="M977" i="1"/>
  <c r="P476" i="1"/>
  <c r="P477" i="1"/>
  <c r="P478" i="1"/>
  <c r="P496" i="1"/>
  <c r="P497" i="1"/>
  <c r="P498" i="1"/>
  <c r="P521" i="1"/>
  <c r="P542" i="1"/>
  <c r="P543" i="1"/>
  <c r="P544" i="1"/>
  <c r="P576" i="1"/>
  <c r="O575" i="1"/>
  <c r="N574" i="1"/>
  <c r="P575" i="1"/>
  <c r="M610" i="1"/>
  <c r="M609" i="1"/>
  <c r="M608" i="1"/>
  <c r="N609" i="1"/>
  <c r="O610" i="1"/>
  <c r="N630" i="1"/>
  <c r="N629" i="1"/>
  <c r="N628" i="1"/>
  <c r="M629" i="1"/>
  <c r="O630" i="1"/>
  <c r="P633" i="1"/>
  <c r="O632" i="1"/>
  <c r="O633" i="1"/>
  <c r="M648" i="1"/>
  <c r="M647" i="1"/>
  <c r="M646" i="1"/>
  <c r="N647" i="1"/>
  <c r="O648" i="1"/>
  <c r="M672" i="1"/>
  <c r="M671" i="1"/>
  <c r="M670" i="1"/>
  <c r="N671" i="1"/>
  <c r="O672" i="1"/>
  <c r="N692" i="1"/>
  <c r="P690" i="1"/>
  <c r="O691" i="1"/>
  <c r="O696" i="1"/>
  <c r="O694" i="1"/>
  <c r="P696" i="1"/>
  <c r="N706" i="1"/>
  <c r="N705" i="1"/>
  <c r="N704" i="1"/>
  <c r="M706" i="1"/>
  <c r="M705" i="1"/>
  <c r="M704" i="1"/>
  <c r="P705" i="1"/>
  <c r="O726" i="1"/>
  <c r="O725" i="1"/>
  <c r="O724" i="1"/>
  <c r="N726" i="1"/>
  <c r="N725" i="1"/>
  <c r="N724" i="1"/>
  <c r="P725" i="1"/>
  <c r="L702" i="1"/>
  <c r="L701" i="1"/>
  <c r="K702" i="1"/>
  <c r="O927" i="1"/>
  <c r="P927" i="1"/>
  <c r="P926" i="1"/>
  <c r="K934" i="1"/>
  <c r="L933" i="1"/>
  <c r="N974" i="1"/>
  <c r="N973" i="1"/>
  <c r="N972" i="1"/>
  <c r="P974" i="1"/>
  <c r="O973" i="1"/>
  <c r="M972" i="1"/>
  <c r="O974" i="1"/>
  <c r="P972" i="1"/>
  <c r="M974" i="1"/>
  <c r="O972" i="1"/>
  <c r="N1070" i="1"/>
  <c r="N1069" i="1"/>
  <c r="N1068" i="1"/>
  <c r="P1069" i="1"/>
  <c r="O1068" i="1"/>
  <c r="M1070" i="1"/>
  <c r="M1068" i="1"/>
  <c r="M1069" i="1"/>
  <c r="P1070" i="1"/>
  <c r="P1068" i="1"/>
  <c r="O1070" i="1"/>
  <c r="O1069" i="1"/>
  <c r="P306" i="1"/>
  <c r="P307" i="1"/>
  <c r="P314" i="1"/>
  <c r="P315" i="1"/>
  <c r="P326" i="1"/>
  <c r="P327" i="1"/>
  <c r="P334" i="1"/>
  <c r="P335" i="1"/>
  <c r="P338" i="1"/>
  <c r="P339" i="1"/>
  <c r="N343" i="1"/>
  <c r="P376" i="1"/>
  <c r="P377" i="1"/>
  <c r="P388" i="1"/>
  <c r="P389" i="1"/>
  <c r="P414" i="1"/>
  <c r="P415" i="1"/>
  <c r="P418" i="1"/>
  <c r="P419" i="1"/>
  <c r="P438" i="1"/>
  <c r="P439" i="1"/>
  <c r="M476" i="1"/>
  <c r="M477" i="1"/>
  <c r="P484" i="1"/>
  <c r="P485" i="1"/>
  <c r="M496" i="1"/>
  <c r="M497" i="1"/>
  <c r="O520" i="1"/>
  <c r="P538" i="1"/>
  <c r="P539" i="1"/>
  <c r="M542" i="1"/>
  <c r="M543" i="1"/>
  <c r="P546" i="1"/>
  <c r="P547" i="1"/>
  <c r="P558" i="1"/>
  <c r="P559" i="1"/>
  <c r="P566" i="1"/>
  <c r="P567" i="1"/>
  <c r="P570" i="1"/>
  <c r="P571" i="1"/>
  <c r="O574" i="1"/>
  <c r="N576" i="1"/>
  <c r="N606" i="1"/>
  <c r="N605" i="1"/>
  <c r="N604" i="1"/>
  <c r="M605" i="1"/>
  <c r="O606" i="1"/>
  <c r="N608" i="1"/>
  <c r="O609" i="1"/>
  <c r="P610" i="1"/>
  <c r="N626" i="1"/>
  <c r="N625" i="1"/>
  <c r="N624" i="1"/>
  <c r="M625" i="1"/>
  <c r="O626" i="1"/>
  <c r="M628" i="1"/>
  <c r="O629" i="1"/>
  <c r="P630" i="1"/>
  <c r="N632" i="1"/>
  <c r="N634" i="1"/>
  <c r="N646" i="1"/>
  <c r="O647" i="1"/>
  <c r="P648" i="1"/>
  <c r="O656" i="1"/>
  <c r="O655" i="1"/>
  <c r="O654" i="1"/>
  <c r="M655" i="1"/>
  <c r="N656" i="1"/>
  <c r="N668" i="1"/>
  <c r="N667" i="1"/>
  <c r="N666" i="1"/>
  <c r="M667" i="1"/>
  <c r="O668" i="1"/>
  <c r="N670" i="1"/>
  <c r="O671" i="1"/>
  <c r="P672" i="1"/>
  <c r="N690" i="1"/>
  <c r="P691" i="1"/>
  <c r="P694" i="1"/>
  <c r="O704" i="1"/>
  <c r="O706" i="1"/>
  <c r="N710" i="1"/>
  <c r="N709" i="1"/>
  <c r="N708" i="1"/>
  <c r="M710" i="1"/>
  <c r="M709" i="1"/>
  <c r="M708" i="1"/>
  <c r="P709" i="1"/>
  <c r="M724" i="1"/>
  <c r="M726" i="1"/>
  <c r="N730" i="1"/>
  <c r="N729" i="1"/>
  <c r="N728" i="1"/>
  <c r="M730" i="1"/>
  <c r="M729" i="1"/>
  <c r="M728" i="1"/>
  <c r="P729" i="1"/>
  <c r="O764" i="1"/>
  <c r="O763" i="1"/>
  <c r="O762" i="1"/>
  <c r="N764" i="1"/>
  <c r="N763" i="1"/>
  <c r="N762" i="1"/>
  <c r="P763" i="1"/>
  <c r="J768" i="1"/>
  <c r="J767" i="1"/>
  <c r="J766" i="1"/>
  <c r="J769" i="1"/>
  <c r="N776" i="1"/>
  <c r="N775" i="1"/>
  <c r="N774" i="1"/>
  <c r="M776" i="1"/>
  <c r="M775" i="1"/>
  <c r="M774" i="1"/>
  <c r="P775" i="1"/>
  <c r="O812" i="1"/>
  <c r="O810" i="1"/>
  <c r="P811" i="1"/>
  <c r="O811" i="1"/>
  <c r="L818" i="1"/>
  <c r="L817" i="1"/>
  <c r="K818" i="1"/>
  <c r="O854" i="1"/>
  <c r="O853" i="1"/>
  <c r="O852" i="1"/>
  <c r="P853" i="1"/>
  <c r="N852" i="1"/>
  <c r="P854" i="1"/>
  <c r="N853" i="1"/>
  <c r="M852" i="1"/>
  <c r="N854" i="1"/>
  <c r="N892" i="1"/>
  <c r="N891" i="1"/>
  <c r="N890" i="1"/>
  <c r="M892" i="1"/>
  <c r="P890" i="1"/>
  <c r="P891" i="1"/>
  <c r="O890" i="1"/>
  <c r="O892" i="1"/>
  <c r="O926" i="1"/>
  <c r="L934" i="1"/>
  <c r="J944" i="1"/>
  <c r="M958" i="1"/>
  <c r="M957" i="1"/>
  <c r="M956" i="1"/>
  <c r="P957" i="1"/>
  <c r="O956" i="1"/>
  <c r="P958" i="1"/>
  <c r="N957" i="1"/>
  <c r="O958" i="1"/>
  <c r="P956" i="1"/>
  <c r="M973" i="1"/>
  <c r="P716" i="1"/>
  <c r="P717" i="1"/>
  <c r="P718" i="1"/>
  <c r="P770" i="1"/>
  <c r="P771" i="1"/>
  <c r="P772" i="1"/>
  <c r="P778" i="1"/>
  <c r="P779" i="1"/>
  <c r="P780" i="1"/>
  <c r="P790" i="1"/>
  <c r="P791" i="1"/>
  <c r="P792" i="1"/>
  <c r="N796" i="1"/>
  <c r="N795" i="1"/>
  <c r="N794" i="1"/>
  <c r="M795" i="1"/>
  <c r="O796" i="1"/>
  <c r="N826" i="1"/>
  <c r="N825" i="1"/>
  <c r="N824" i="1"/>
  <c r="M825" i="1"/>
  <c r="O826" i="1"/>
  <c r="N846" i="1"/>
  <c r="N845" i="1"/>
  <c r="N844" i="1"/>
  <c r="M845" i="1"/>
  <c r="O846" i="1"/>
  <c r="M908" i="1"/>
  <c r="M907" i="1"/>
  <c r="M906" i="1"/>
  <c r="N907" i="1"/>
  <c r="O908" i="1"/>
  <c r="N954" i="1"/>
  <c r="N953" i="1"/>
  <c r="N952" i="1"/>
  <c r="P954" i="1"/>
  <c r="O953" i="1"/>
  <c r="M952" i="1"/>
  <c r="P953" i="1"/>
  <c r="O1012" i="1"/>
  <c r="O1011" i="1"/>
  <c r="O1010" i="1"/>
  <c r="M1012" i="1"/>
  <c r="P1010" i="1"/>
  <c r="N1011" i="1"/>
  <c r="M1024" i="1"/>
  <c r="M1023" i="1"/>
  <c r="M1022" i="1"/>
  <c r="P1024" i="1"/>
  <c r="O1023" i="1"/>
  <c r="N1022" i="1"/>
  <c r="N1024" i="1"/>
  <c r="O1022" i="1"/>
  <c r="O1024" i="1"/>
  <c r="M1036" i="1"/>
  <c r="M1035" i="1"/>
  <c r="M1034" i="1"/>
  <c r="N1036" i="1"/>
  <c r="P1034" i="1"/>
  <c r="O1036" i="1"/>
  <c r="O1034" i="1"/>
  <c r="N1035" i="1"/>
  <c r="P1036" i="1"/>
  <c r="P1040" i="1"/>
  <c r="O1039" i="1"/>
  <c r="N1038" i="1"/>
  <c r="N1039" i="1"/>
  <c r="P1039" i="1"/>
  <c r="P1038" i="1"/>
  <c r="N1112" i="1"/>
  <c r="N1111" i="1"/>
  <c r="N1110" i="1"/>
  <c r="P1111" i="1"/>
  <c r="O1110" i="1"/>
  <c r="P1112" i="1"/>
  <c r="O1111" i="1"/>
  <c r="M1110" i="1"/>
  <c r="M1111" i="1"/>
  <c r="P1110" i="1"/>
  <c r="O1112" i="1"/>
  <c r="J1116" i="1"/>
  <c r="J1115" i="1"/>
  <c r="J1114" i="1"/>
  <c r="J1117" i="1"/>
  <c r="O1159" i="1"/>
  <c r="P1160" i="1"/>
  <c r="P1158" i="1"/>
  <c r="O1160" i="1"/>
  <c r="O1158" i="1"/>
  <c r="P1159" i="1"/>
  <c r="P588" i="1"/>
  <c r="P589" i="1"/>
  <c r="P592" i="1"/>
  <c r="P593" i="1"/>
  <c r="P612" i="1"/>
  <c r="P613" i="1"/>
  <c r="P658" i="1"/>
  <c r="P659" i="1"/>
  <c r="P712" i="1"/>
  <c r="P713" i="1"/>
  <c r="M716" i="1"/>
  <c r="M717" i="1"/>
  <c r="P720" i="1"/>
  <c r="P721" i="1"/>
  <c r="P732" i="1"/>
  <c r="P733" i="1"/>
  <c r="P740" i="1"/>
  <c r="P741" i="1"/>
  <c r="P744" i="1"/>
  <c r="P745" i="1"/>
  <c r="N749" i="1"/>
  <c r="M770" i="1"/>
  <c r="M771" i="1"/>
  <c r="M778" i="1"/>
  <c r="M779" i="1"/>
  <c r="P782" i="1"/>
  <c r="P783" i="1"/>
  <c r="M790" i="1"/>
  <c r="M791" i="1"/>
  <c r="M794" i="1"/>
  <c r="O795" i="1"/>
  <c r="P796" i="1"/>
  <c r="O800" i="1"/>
  <c r="O799" i="1"/>
  <c r="O798" i="1"/>
  <c r="M799" i="1"/>
  <c r="N800" i="1"/>
  <c r="O804" i="1"/>
  <c r="O803" i="1"/>
  <c r="O802" i="1"/>
  <c r="M803" i="1"/>
  <c r="N804" i="1"/>
  <c r="N822" i="1"/>
  <c r="N821" i="1"/>
  <c r="N820" i="1"/>
  <c r="M821" i="1"/>
  <c r="O822" i="1"/>
  <c r="M824" i="1"/>
  <c r="O825" i="1"/>
  <c r="P826" i="1"/>
  <c r="O842" i="1"/>
  <c r="O841" i="1"/>
  <c r="O840" i="1"/>
  <c r="M841" i="1"/>
  <c r="N842" i="1"/>
  <c r="M844" i="1"/>
  <c r="O845" i="1"/>
  <c r="P846" i="1"/>
  <c r="M896" i="1"/>
  <c r="M895" i="1"/>
  <c r="M894" i="1"/>
  <c r="N895" i="1"/>
  <c r="O896" i="1"/>
  <c r="N906" i="1"/>
  <c r="O907" i="1"/>
  <c r="P908" i="1"/>
  <c r="N946" i="1"/>
  <c r="N945" i="1"/>
  <c r="N944" i="1"/>
  <c r="M945" i="1"/>
  <c r="O946" i="1"/>
  <c r="O952" i="1"/>
  <c r="M954" i="1"/>
  <c r="N966" i="1"/>
  <c r="N965" i="1"/>
  <c r="N964" i="1"/>
  <c r="M966" i="1"/>
  <c r="P964" i="1"/>
  <c r="O965" i="1"/>
  <c r="P981" i="1"/>
  <c r="O980" i="1"/>
  <c r="O982" i="1"/>
  <c r="P980" i="1"/>
  <c r="N982" i="1"/>
  <c r="M996" i="1"/>
  <c r="M995" i="1"/>
  <c r="M994" i="1"/>
  <c r="P996" i="1"/>
  <c r="O995" i="1"/>
  <c r="N994" i="1"/>
  <c r="P995" i="1"/>
  <c r="J999" i="1"/>
  <c r="J998" i="1"/>
  <c r="M1010" i="1"/>
  <c r="P1011" i="1"/>
  <c r="P1022" i="1"/>
  <c r="M1032" i="1"/>
  <c r="M1031" i="1"/>
  <c r="M1030" i="1"/>
  <c r="N1032" i="1"/>
  <c r="P1030" i="1"/>
  <c r="P1031" i="1"/>
  <c r="N1030" i="1"/>
  <c r="P1032" i="1"/>
  <c r="O1030" i="1"/>
  <c r="N1034" i="1"/>
  <c r="O1038" i="1"/>
  <c r="M1112" i="1"/>
  <c r="O1066" i="1"/>
  <c r="O1065" i="1"/>
  <c r="O1064" i="1"/>
  <c r="P1066" i="1"/>
  <c r="N1065" i="1"/>
  <c r="M1064" i="1"/>
  <c r="M1065" i="1"/>
  <c r="M1066" i="1"/>
  <c r="P828" i="1"/>
  <c r="P829" i="1"/>
  <c r="P836" i="1"/>
  <c r="P837" i="1"/>
  <c r="P848" i="1"/>
  <c r="P849" i="1"/>
  <c r="P856" i="1"/>
  <c r="P857" i="1"/>
  <c r="P860" i="1"/>
  <c r="P861" i="1"/>
  <c r="N865" i="1"/>
  <c r="P898" i="1"/>
  <c r="P899" i="1"/>
  <c r="P910" i="1"/>
  <c r="P911" i="1"/>
  <c r="P936" i="1"/>
  <c r="P937" i="1"/>
  <c r="P940" i="1"/>
  <c r="P941" i="1"/>
  <c r="O950" i="1"/>
  <c r="O949" i="1"/>
  <c r="O948" i="1"/>
  <c r="M949" i="1"/>
  <c r="N950" i="1"/>
  <c r="M970" i="1"/>
  <c r="M969" i="1"/>
  <c r="M968" i="1"/>
  <c r="N969" i="1"/>
  <c r="O970" i="1"/>
  <c r="O1004" i="1"/>
  <c r="O1003" i="1"/>
  <c r="O1002" i="1"/>
  <c r="M1003" i="1"/>
  <c r="N1004" i="1"/>
  <c r="P1016" i="1"/>
  <c r="P1015" i="1"/>
  <c r="O1016" i="1"/>
  <c r="N1015" i="1"/>
  <c r="N1014" i="1"/>
  <c r="M1015" i="1"/>
  <c r="N1062" i="1"/>
  <c r="N1061" i="1"/>
  <c r="N1060" i="1"/>
  <c r="P1062" i="1"/>
  <c r="O1061" i="1"/>
  <c r="M1060" i="1"/>
  <c r="O1062" i="1"/>
  <c r="P1060" i="1"/>
  <c r="M1062" i="1"/>
  <c r="N1064" i="1"/>
  <c r="N1066" i="1"/>
  <c r="M1074" i="1"/>
  <c r="M1073" i="1"/>
  <c r="M1072" i="1"/>
  <c r="N1074" i="1"/>
  <c r="P1072" i="1"/>
  <c r="P1074" i="1"/>
  <c r="N1073" i="1"/>
  <c r="P1073" i="1"/>
  <c r="N1086" i="1"/>
  <c r="N1085" i="1"/>
  <c r="N1084" i="1"/>
  <c r="M1086" i="1"/>
  <c r="M1085" i="1"/>
  <c r="M1084" i="1"/>
  <c r="O1086" i="1"/>
  <c r="O1084" i="1"/>
  <c r="O1085" i="1"/>
  <c r="N1098" i="1"/>
  <c r="P1096" i="1"/>
  <c r="P1098" i="1"/>
  <c r="N1097" i="1"/>
  <c r="O1098" i="1"/>
  <c r="O1096" i="1"/>
  <c r="P1097" i="1"/>
  <c r="O1097" i="1"/>
  <c r="O1102" i="1"/>
  <c r="O1100" i="1"/>
  <c r="P1101" i="1"/>
  <c r="O1101" i="1"/>
  <c r="P1100" i="1"/>
  <c r="P960" i="1"/>
  <c r="P961" i="1"/>
  <c r="P1006" i="1"/>
  <c r="P1007" i="1"/>
  <c r="O1082" i="1"/>
  <c r="O1081" i="1"/>
  <c r="O1080" i="1"/>
  <c r="N1082" i="1"/>
  <c r="N1081" i="1"/>
  <c r="N1080" i="1"/>
  <c r="P1082" i="1"/>
  <c r="P1080" i="1"/>
  <c r="M1082" i="1"/>
  <c r="O1044" i="1"/>
  <c r="O1090" i="1"/>
  <c r="O1089" i="1"/>
  <c r="O1088" i="1"/>
  <c r="N1090" i="1"/>
  <c r="N1089" i="1"/>
  <c r="N1088" i="1"/>
  <c r="P1089" i="1"/>
  <c r="N1124" i="1"/>
  <c r="N1123" i="1"/>
  <c r="N1122" i="1"/>
  <c r="M1124" i="1"/>
  <c r="M1123" i="1"/>
  <c r="M1122" i="1"/>
  <c r="O1123" i="1"/>
  <c r="P1124" i="1"/>
  <c r="P1122" i="1"/>
  <c r="P1026" i="1"/>
  <c r="P1027" i="1"/>
  <c r="P1052" i="1"/>
  <c r="P1053" i="1"/>
  <c r="P1056" i="1"/>
  <c r="P1057" i="1"/>
  <c r="P1076" i="1"/>
  <c r="P1077" i="1"/>
  <c r="P1078" i="1"/>
  <c r="O1116" i="1"/>
  <c r="O1115" i="1"/>
  <c r="O1114" i="1"/>
  <c r="N1116" i="1"/>
  <c r="N1115" i="1"/>
  <c r="N1114" i="1"/>
  <c r="P1115" i="1"/>
  <c r="O1136" i="1"/>
  <c r="O1135" i="1"/>
  <c r="O1134" i="1"/>
  <c r="N1136" i="1"/>
  <c r="N1135" i="1"/>
  <c r="N1134" i="1"/>
  <c r="P1135" i="1"/>
  <c r="M1077" i="1"/>
  <c r="M1114" i="1"/>
  <c r="M1116" i="1"/>
  <c r="M1134" i="1"/>
  <c r="M1136" i="1"/>
  <c r="P1118" i="1"/>
  <c r="P1119" i="1"/>
  <c r="P1120" i="1"/>
  <c r="P1126" i="1"/>
  <c r="P1127" i="1"/>
  <c r="P1128" i="1"/>
  <c r="P1138" i="1"/>
  <c r="P1139" i="1"/>
  <c r="P1140" i="1"/>
  <c r="P1146" i="1"/>
  <c r="P1147" i="1"/>
  <c r="P1148" i="1"/>
  <c r="P1150" i="1"/>
  <c r="P1151" i="1"/>
  <c r="P1152" i="1"/>
  <c r="N1155" i="1"/>
  <c r="O1156" i="1"/>
  <c r="M1118" i="1"/>
  <c r="M1119" i="1"/>
  <c r="M1126" i="1"/>
  <c r="M1127" i="1"/>
  <c r="P1130" i="1"/>
  <c r="P1131" i="1"/>
  <c r="M1138" i="1"/>
  <c r="M1139" i="1"/>
  <c r="P1142" i="1"/>
  <c r="P1143" i="1"/>
  <c r="M1146" i="1"/>
  <c r="M1147" i="1"/>
  <c r="M1150" i="1"/>
  <c r="M1151" i="1"/>
  <c r="N1154" i="1"/>
  <c r="O1155" i="1"/>
  <c r="O66" i="1"/>
  <c r="M76" i="1"/>
  <c r="M86" i="1"/>
  <c r="N91" i="1"/>
  <c r="N74" i="1"/>
  <c r="M87" i="1"/>
  <c r="O110" i="1"/>
  <c r="M70" i="1"/>
  <c r="M72" i="1"/>
  <c r="M75" i="1"/>
  <c r="N76" i="1"/>
  <c r="O78" i="1"/>
  <c r="O80" i="1"/>
  <c r="O86" i="1"/>
  <c r="O88" i="1"/>
  <c r="N92" i="1"/>
  <c r="O98" i="1"/>
  <c r="O70" i="1"/>
  <c r="O72" i="1"/>
  <c r="M74" i="1"/>
  <c r="N75" i="1"/>
  <c r="O76" i="1"/>
  <c r="M79" i="1"/>
  <c r="O99" i="1"/>
  <c r="O71" i="1"/>
  <c r="M71" i="1"/>
  <c r="O79" i="1"/>
  <c r="O87" i="1"/>
  <c r="N90" i="1"/>
  <c r="O100" i="1"/>
  <c r="P111" i="1"/>
  <c r="P129" i="1"/>
  <c r="M132" i="1"/>
  <c r="N133" i="1"/>
  <c r="O134" i="1"/>
  <c r="M136" i="1"/>
  <c r="P138" i="1"/>
  <c r="N142" i="1"/>
  <c r="N152" i="1"/>
  <c r="N154" i="1"/>
  <c r="M161" i="1"/>
  <c r="N164" i="1"/>
  <c r="N166" i="1"/>
  <c r="N168" i="1"/>
  <c r="P170" i="1"/>
  <c r="P137" i="1"/>
  <c r="P169" i="1"/>
  <c r="N132" i="1"/>
  <c r="O133" i="1"/>
  <c r="O136" i="1"/>
  <c r="N161" i="1"/>
  <c r="O168" i="1"/>
  <c r="M133" i="1"/>
  <c r="N134" i="1"/>
  <c r="O132" i="1"/>
  <c r="M134" i="1"/>
  <c r="O137" i="1"/>
  <c r="N153" i="1"/>
  <c r="M160" i="1"/>
  <c r="M162" i="1"/>
  <c r="N165" i="1"/>
  <c r="O169" i="1"/>
  <c r="M150" i="1"/>
  <c r="M149" i="1"/>
  <c r="M148" i="1"/>
  <c r="N150" i="1"/>
  <c r="P148" i="1"/>
  <c r="P150" i="1"/>
  <c r="N148" i="1"/>
  <c r="P149" i="1"/>
  <c r="O148" i="1"/>
  <c r="O149" i="1"/>
  <c r="O150" i="1"/>
  <c r="N149" i="1"/>
  <c r="J131" i="1"/>
  <c r="J130" i="1"/>
  <c r="J129" i="1"/>
  <c r="J128" i="1"/>
  <c r="N126" i="1"/>
  <c r="N125" i="1"/>
  <c r="N124" i="1"/>
  <c r="M126" i="1"/>
  <c r="P124" i="1"/>
  <c r="P126" i="1"/>
  <c r="O125" i="1"/>
  <c r="M124" i="1"/>
  <c r="P125" i="1"/>
  <c r="O124" i="1"/>
  <c r="O158" i="1"/>
  <c r="O157" i="1"/>
  <c r="O156" i="1"/>
  <c r="N158" i="1"/>
  <c r="N157" i="1"/>
  <c r="N156" i="1"/>
  <c r="P157" i="1"/>
  <c r="N146" i="1"/>
  <c r="N145" i="1"/>
  <c r="N144" i="1"/>
  <c r="O146" i="1"/>
  <c r="M156" i="1"/>
  <c r="M158" i="1"/>
  <c r="P128" i="1"/>
  <c r="P136" i="1"/>
  <c r="N140" i="1"/>
  <c r="O141" i="1"/>
  <c r="M144" i="1"/>
  <c r="O145" i="1"/>
  <c r="P146" i="1"/>
  <c r="P156" i="1"/>
  <c r="P158" i="1"/>
  <c r="P174" i="1"/>
  <c r="P172" i="1"/>
  <c r="O174" i="1"/>
  <c r="O172" i="1"/>
  <c r="M142" i="1"/>
  <c r="M141" i="1"/>
  <c r="M140" i="1"/>
  <c r="N141" i="1"/>
  <c r="O142" i="1"/>
  <c r="M145" i="1"/>
  <c r="O173" i="1"/>
  <c r="N130" i="1"/>
  <c r="N129" i="1"/>
  <c r="N128" i="1"/>
  <c r="M129" i="1"/>
  <c r="O130" i="1"/>
  <c r="N138" i="1"/>
  <c r="N137" i="1"/>
  <c r="N136" i="1"/>
  <c r="M137" i="1"/>
  <c r="O138" i="1"/>
  <c r="O140" i="1"/>
  <c r="P141" i="1"/>
  <c r="O144" i="1"/>
  <c r="P145" i="1"/>
  <c r="L122" i="1"/>
  <c r="L121" i="1"/>
  <c r="M157" i="1"/>
  <c r="P132" i="1"/>
  <c r="P133" i="1"/>
  <c r="O152" i="1"/>
  <c r="O153" i="1"/>
  <c r="O154" i="1"/>
  <c r="O160" i="1"/>
  <c r="O161" i="1"/>
  <c r="O162" i="1"/>
  <c r="O164" i="1"/>
  <c r="O165" i="1"/>
  <c r="O166" i="1"/>
  <c r="P168" i="1"/>
  <c r="N170" i="1"/>
  <c r="P152" i="1"/>
  <c r="P153" i="1"/>
  <c r="P160" i="1"/>
  <c r="P161" i="1"/>
  <c r="P164" i="1"/>
  <c r="P165" i="1"/>
  <c r="N169" i="1"/>
  <c r="N68" i="1"/>
  <c r="N67" i="1"/>
  <c r="N66" i="1"/>
  <c r="M67" i="1"/>
  <c r="O68" i="1"/>
  <c r="O84" i="1"/>
  <c r="O83" i="1"/>
  <c r="O82" i="1"/>
  <c r="M84" i="1"/>
  <c r="M83" i="1"/>
  <c r="M82" i="1"/>
  <c r="P83" i="1"/>
  <c r="P95" i="1"/>
  <c r="M66" i="1"/>
  <c r="O67" i="1"/>
  <c r="P68" i="1"/>
  <c r="N82" i="1"/>
  <c r="N84" i="1"/>
  <c r="M96" i="1"/>
  <c r="M95" i="1"/>
  <c r="M94" i="1"/>
  <c r="O96" i="1"/>
  <c r="O95" i="1"/>
  <c r="O94" i="1"/>
  <c r="N96" i="1"/>
  <c r="N95" i="1"/>
  <c r="N94" i="1"/>
  <c r="P66" i="1"/>
  <c r="M68" i="1"/>
  <c r="J71" i="1"/>
  <c r="N83" i="1"/>
  <c r="P94" i="1"/>
  <c r="P90" i="1"/>
  <c r="P91" i="1"/>
  <c r="P92" i="1"/>
  <c r="M98" i="1"/>
  <c r="M99" i="1"/>
  <c r="M100" i="1"/>
  <c r="N102" i="1"/>
  <c r="N103" i="1"/>
  <c r="N104" i="1"/>
  <c r="N106" i="1"/>
  <c r="N107" i="1"/>
  <c r="N108" i="1"/>
  <c r="P115" i="1"/>
  <c r="N70" i="1"/>
  <c r="N71" i="1"/>
  <c r="N72" i="1"/>
  <c r="P74" i="1"/>
  <c r="P75" i="1"/>
  <c r="N78" i="1"/>
  <c r="N79" i="1"/>
  <c r="N80" i="1"/>
  <c r="N86" i="1"/>
  <c r="N87" i="1"/>
  <c r="N88" i="1"/>
  <c r="M90" i="1"/>
  <c r="M91" i="1"/>
  <c r="M92" i="1"/>
  <c r="N98" i="1"/>
  <c r="N99" i="1"/>
  <c r="N100" i="1"/>
  <c r="O102" i="1"/>
  <c r="O103" i="1"/>
  <c r="O104" i="1"/>
  <c r="O106" i="1"/>
  <c r="O107" i="1"/>
  <c r="O108" i="1"/>
  <c r="P110" i="1"/>
  <c r="N112" i="1"/>
  <c r="O114" i="1"/>
  <c r="O116" i="1"/>
  <c r="P102" i="1"/>
  <c r="P103" i="1"/>
  <c r="P104" i="1"/>
  <c r="P106" i="1"/>
  <c r="P107" i="1"/>
  <c r="P108" i="1"/>
  <c r="N111" i="1"/>
  <c r="O112" i="1"/>
  <c r="P114" i="1"/>
  <c r="P116" i="1"/>
  <c r="P70" i="1"/>
  <c r="P71" i="1"/>
  <c r="P78" i="1"/>
  <c r="P79" i="1"/>
  <c r="P86" i="1"/>
  <c r="P87" i="1"/>
  <c r="O90" i="1"/>
  <c r="O91" i="1"/>
  <c r="P98" i="1"/>
  <c r="P99" i="1"/>
  <c r="M102" i="1"/>
  <c r="M103" i="1"/>
  <c r="M106" i="1"/>
  <c r="M107" i="1"/>
  <c r="N110" i="1"/>
  <c r="O111" i="1"/>
  <c r="J254" i="1" l="1"/>
  <c r="J258" i="1"/>
  <c r="J262" i="1"/>
  <c r="J77" i="1"/>
  <c r="J74" i="1"/>
  <c r="J256" i="1"/>
  <c r="J263" i="1"/>
  <c r="J191" i="1"/>
  <c r="J190" i="1"/>
  <c r="J260" i="1"/>
  <c r="J257" i="1"/>
  <c r="J193" i="1"/>
  <c r="J197" i="1" s="1"/>
  <c r="J316" i="1"/>
  <c r="J76" i="1"/>
  <c r="J253" i="1"/>
  <c r="J428" i="1"/>
  <c r="J423" i="1"/>
  <c r="J310" i="1"/>
  <c r="E854" i="1"/>
  <c r="E970" i="1"/>
  <c r="E1028" i="1"/>
  <c r="E796" i="1"/>
  <c r="E738" i="1"/>
  <c r="E100" i="1"/>
  <c r="E448" i="1"/>
  <c r="E1086" i="1"/>
  <c r="E1144" i="1"/>
  <c r="E42" i="1"/>
  <c r="E274" i="1"/>
  <c r="E680" i="1"/>
  <c r="E622" i="1"/>
  <c r="E564" i="1"/>
  <c r="E506" i="1"/>
  <c r="E390" i="1"/>
  <c r="E332" i="1"/>
  <c r="J481" i="1"/>
  <c r="J482" i="1"/>
  <c r="J312" i="1"/>
  <c r="J317" i="1"/>
  <c r="J319" i="1" s="1"/>
  <c r="J1004" i="1"/>
  <c r="E158" i="1"/>
  <c r="J422" i="1"/>
  <c r="E216" i="1"/>
  <c r="J1002" i="1"/>
  <c r="J1005" i="1"/>
  <c r="J1009" i="1" s="1"/>
  <c r="J1063" i="1"/>
  <c r="J1062" i="1"/>
  <c r="J1060" i="1"/>
  <c r="J599" i="1"/>
  <c r="J597" i="1"/>
  <c r="J318" i="1"/>
  <c r="J947" i="1"/>
  <c r="J945" i="1"/>
  <c r="J830" i="1"/>
  <c r="J828" i="1"/>
  <c r="J829" i="1"/>
  <c r="J831" i="1"/>
  <c r="J596" i="1"/>
  <c r="J1061" i="1"/>
  <c r="J598" i="1"/>
  <c r="J771" i="1"/>
  <c r="J772" i="1"/>
  <c r="J770" i="1"/>
  <c r="J773" i="1"/>
  <c r="J660" i="1"/>
  <c r="J661" i="1"/>
  <c r="J658" i="1"/>
  <c r="J659" i="1"/>
  <c r="J714" i="1"/>
  <c r="J715" i="1"/>
  <c r="J712" i="1"/>
  <c r="J713" i="1"/>
  <c r="J887" i="1"/>
  <c r="J888" i="1"/>
  <c r="J886" i="1"/>
  <c r="J889" i="1"/>
  <c r="J370" i="1"/>
  <c r="J369" i="1"/>
  <c r="J368" i="1"/>
  <c r="J371" i="1"/>
  <c r="J267" i="1"/>
  <c r="J266" i="1"/>
  <c r="J265" i="1"/>
  <c r="J264" i="1"/>
  <c r="J432" i="1"/>
  <c r="J433" i="1"/>
  <c r="J431" i="1"/>
  <c r="J430" i="1"/>
  <c r="J1119" i="1"/>
  <c r="J1120" i="1"/>
  <c r="J1121" i="1"/>
  <c r="J1118" i="1"/>
  <c r="J540" i="1"/>
  <c r="J541" i="1"/>
  <c r="J538" i="1"/>
  <c r="J539" i="1"/>
  <c r="J485" i="1"/>
  <c r="J484" i="1"/>
  <c r="J486" i="1"/>
  <c r="J487" i="1"/>
  <c r="J132" i="1"/>
  <c r="J135" i="1"/>
  <c r="J134" i="1"/>
  <c r="J133" i="1"/>
  <c r="J81" i="1"/>
  <c r="J80" i="1"/>
  <c r="J79" i="1"/>
  <c r="J78" i="1"/>
  <c r="J196" i="1" l="1"/>
  <c r="J194" i="1"/>
  <c r="J195" i="1"/>
  <c r="J1008" i="1"/>
  <c r="J1007" i="1"/>
  <c r="J1006" i="1"/>
  <c r="J320" i="1"/>
  <c r="J321" i="1"/>
  <c r="J948" i="1"/>
  <c r="J951" i="1"/>
  <c r="J950" i="1"/>
  <c r="J949" i="1"/>
  <c r="J601" i="1"/>
  <c r="J600" i="1"/>
  <c r="J603" i="1"/>
  <c r="J602" i="1"/>
  <c r="J835" i="1"/>
  <c r="J833" i="1"/>
  <c r="J832" i="1"/>
  <c r="J834" i="1"/>
  <c r="J1066" i="1"/>
  <c r="J1065" i="1"/>
  <c r="J1064" i="1"/>
  <c r="J1067" i="1"/>
  <c r="J199" i="1"/>
  <c r="J198" i="1"/>
  <c r="J200" i="1"/>
  <c r="J201" i="1"/>
  <c r="J1011" i="1"/>
  <c r="J1010" i="1"/>
  <c r="J1013" i="1"/>
  <c r="J1012" i="1"/>
  <c r="J776" i="1"/>
  <c r="J777" i="1"/>
  <c r="J775" i="1"/>
  <c r="J774" i="1"/>
  <c r="J375" i="1"/>
  <c r="J373" i="1"/>
  <c r="J372" i="1"/>
  <c r="J374" i="1"/>
  <c r="J719" i="1"/>
  <c r="J718" i="1"/>
  <c r="J717" i="1"/>
  <c r="J716" i="1"/>
  <c r="J270" i="1"/>
  <c r="J269" i="1"/>
  <c r="J271" i="1"/>
  <c r="J268" i="1"/>
  <c r="J892" i="1"/>
  <c r="J891" i="1"/>
  <c r="J890" i="1"/>
  <c r="J893" i="1"/>
  <c r="J663" i="1"/>
  <c r="J662" i="1"/>
  <c r="J664" i="1"/>
  <c r="J665" i="1"/>
  <c r="J489" i="1"/>
  <c r="J488" i="1"/>
  <c r="J490" i="1"/>
  <c r="J491" i="1"/>
  <c r="J545" i="1"/>
  <c r="J542" i="1"/>
  <c r="J544" i="1"/>
  <c r="J543" i="1"/>
  <c r="J1124" i="1"/>
  <c r="J1125" i="1"/>
  <c r="J1123" i="1"/>
  <c r="J1122" i="1"/>
  <c r="J437" i="1"/>
  <c r="J436" i="1"/>
  <c r="J435" i="1"/>
  <c r="J434" i="1"/>
  <c r="J137" i="1"/>
  <c r="J139" i="1"/>
  <c r="J138" i="1"/>
  <c r="J136" i="1"/>
  <c r="J85" i="1"/>
  <c r="J82" i="1"/>
  <c r="J83" i="1"/>
  <c r="J84" i="1"/>
  <c r="J325" i="1" l="1"/>
  <c r="J324" i="1"/>
  <c r="J322" i="1"/>
  <c r="J323" i="1"/>
  <c r="J1071" i="1"/>
  <c r="J1068" i="1"/>
  <c r="J1070" i="1"/>
  <c r="J1069" i="1"/>
  <c r="J606" i="1"/>
  <c r="J607" i="1"/>
  <c r="J605" i="1"/>
  <c r="J604" i="1"/>
  <c r="J953" i="1"/>
  <c r="J952" i="1"/>
  <c r="J954" i="1"/>
  <c r="J955" i="1"/>
  <c r="J836" i="1"/>
  <c r="J837" i="1"/>
  <c r="J839" i="1"/>
  <c r="J838" i="1"/>
  <c r="J897" i="1"/>
  <c r="J895" i="1"/>
  <c r="J894" i="1"/>
  <c r="J896" i="1"/>
  <c r="J1017" i="1"/>
  <c r="J1016" i="1"/>
  <c r="J1015" i="1"/>
  <c r="J1014" i="1"/>
  <c r="J204" i="1"/>
  <c r="J203" i="1"/>
  <c r="J202" i="1"/>
  <c r="J205" i="1"/>
  <c r="J494" i="1"/>
  <c r="J495" i="1"/>
  <c r="J493" i="1"/>
  <c r="J492" i="1"/>
  <c r="J668" i="1"/>
  <c r="J669" i="1"/>
  <c r="J667" i="1"/>
  <c r="J666" i="1"/>
  <c r="J378" i="1"/>
  <c r="J379" i="1"/>
  <c r="J376" i="1"/>
  <c r="J377" i="1"/>
  <c r="J439" i="1"/>
  <c r="J440" i="1"/>
  <c r="J438" i="1"/>
  <c r="J441" i="1"/>
  <c r="J275" i="1"/>
  <c r="J274" i="1"/>
  <c r="J273" i="1"/>
  <c r="J272" i="1"/>
  <c r="J721" i="1"/>
  <c r="J720" i="1"/>
  <c r="J722" i="1"/>
  <c r="J723" i="1"/>
  <c r="J781" i="1"/>
  <c r="J778" i="1"/>
  <c r="J780" i="1"/>
  <c r="J779" i="1"/>
  <c r="J1129" i="1"/>
  <c r="J1128" i="1"/>
  <c r="J1127" i="1"/>
  <c r="J1126" i="1"/>
  <c r="J547" i="1"/>
  <c r="J546" i="1"/>
  <c r="J549" i="1"/>
  <c r="J548" i="1"/>
  <c r="J141" i="1"/>
  <c r="J143" i="1"/>
  <c r="J142" i="1"/>
  <c r="J140" i="1"/>
  <c r="J88" i="1"/>
  <c r="J89" i="1"/>
  <c r="J87" i="1"/>
  <c r="J86" i="1"/>
  <c r="J328" i="1" l="1"/>
  <c r="J329" i="1"/>
  <c r="J327" i="1"/>
  <c r="J326" i="1"/>
  <c r="J958" i="1"/>
  <c r="J957" i="1"/>
  <c r="J959" i="1"/>
  <c r="J956" i="1"/>
  <c r="J840" i="1"/>
  <c r="J843" i="1"/>
  <c r="J842" i="1"/>
  <c r="J841" i="1"/>
  <c r="J611" i="1"/>
  <c r="J610" i="1"/>
  <c r="J609" i="1"/>
  <c r="J608" i="1"/>
  <c r="J1075" i="1"/>
  <c r="J1073" i="1"/>
  <c r="J1072" i="1"/>
  <c r="J1074" i="1"/>
  <c r="J725" i="1"/>
  <c r="J724" i="1"/>
  <c r="J726" i="1"/>
  <c r="J727" i="1"/>
  <c r="J673" i="1"/>
  <c r="J671" i="1"/>
  <c r="J672" i="1"/>
  <c r="J670" i="1"/>
  <c r="J783" i="1"/>
  <c r="J782" i="1"/>
  <c r="J785" i="1"/>
  <c r="J784" i="1"/>
  <c r="J444" i="1"/>
  <c r="J445" i="1"/>
  <c r="J443" i="1"/>
  <c r="J442" i="1"/>
  <c r="J497" i="1"/>
  <c r="J499" i="1"/>
  <c r="J496" i="1"/>
  <c r="J498" i="1"/>
  <c r="J209" i="1"/>
  <c r="J207" i="1"/>
  <c r="J206" i="1"/>
  <c r="J208" i="1"/>
  <c r="J901" i="1"/>
  <c r="J899" i="1"/>
  <c r="J900" i="1"/>
  <c r="J898" i="1"/>
  <c r="J551" i="1"/>
  <c r="J550" i="1"/>
  <c r="J552" i="1"/>
  <c r="J553" i="1"/>
  <c r="J279" i="1"/>
  <c r="J278" i="1"/>
  <c r="J277" i="1"/>
  <c r="J276" i="1"/>
  <c r="J1020" i="1"/>
  <c r="J1018" i="1"/>
  <c r="J1021" i="1"/>
  <c r="J1019" i="1"/>
  <c r="J1131" i="1"/>
  <c r="J1130" i="1"/>
  <c r="J1132" i="1"/>
  <c r="J1133" i="1"/>
  <c r="J382" i="1"/>
  <c r="J380" i="1"/>
  <c r="J383" i="1"/>
  <c r="J381" i="1"/>
  <c r="J146" i="1"/>
  <c r="J147" i="1"/>
  <c r="J145" i="1"/>
  <c r="J144" i="1"/>
  <c r="J92" i="1"/>
  <c r="J90" i="1"/>
  <c r="J91" i="1"/>
  <c r="J93" i="1"/>
  <c r="J332" i="1" l="1"/>
  <c r="J330" i="1"/>
  <c r="J333" i="1"/>
  <c r="J331" i="1"/>
  <c r="J961" i="1"/>
  <c r="J962" i="1"/>
  <c r="J960" i="1"/>
  <c r="J963" i="1"/>
  <c r="J845" i="1"/>
  <c r="J844" i="1"/>
  <c r="J846" i="1"/>
  <c r="J847" i="1"/>
  <c r="J1077" i="1"/>
  <c r="J1079" i="1"/>
  <c r="J1076" i="1"/>
  <c r="J1078" i="1"/>
  <c r="J613" i="1"/>
  <c r="J615" i="1"/>
  <c r="J614" i="1"/>
  <c r="J612" i="1"/>
  <c r="J1025" i="1"/>
  <c r="J1024" i="1"/>
  <c r="J1023" i="1"/>
  <c r="J1022" i="1"/>
  <c r="J283" i="1"/>
  <c r="J281" i="1"/>
  <c r="J280" i="1"/>
  <c r="J282" i="1"/>
  <c r="J904" i="1"/>
  <c r="J902" i="1"/>
  <c r="J905" i="1"/>
  <c r="J903" i="1"/>
  <c r="J731" i="1"/>
  <c r="J729" i="1"/>
  <c r="J728" i="1"/>
  <c r="J730" i="1"/>
  <c r="J211" i="1"/>
  <c r="J210" i="1"/>
  <c r="J213" i="1"/>
  <c r="J212" i="1"/>
  <c r="J501" i="1"/>
  <c r="J500" i="1"/>
  <c r="J502" i="1"/>
  <c r="J503" i="1"/>
  <c r="J675" i="1"/>
  <c r="J674" i="1"/>
  <c r="J676" i="1"/>
  <c r="J677" i="1"/>
  <c r="J557" i="1"/>
  <c r="J556" i="1"/>
  <c r="J555" i="1"/>
  <c r="J554" i="1"/>
  <c r="J1136" i="1"/>
  <c r="J1134" i="1"/>
  <c r="J1137" i="1"/>
  <c r="J1135" i="1"/>
  <c r="J387" i="1"/>
  <c r="J386" i="1"/>
  <c r="J385" i="1"/>
  <c r="J384" i="1"/>
  <c r="J449" i="1"/>
  <c r="J447" i="1"/>
  <c r="J448" i="1"/>
  <c r="J446" i="1"/>
  <c r="J788" i="1"/>
  <c r="J786" i="1"/>
  <c r="J789" i="1"/>
  <c r="J787" i="1"/>
  <c r="J148" i="1"/>
  <c r="J150" i="1"/>
  <c r="J151" i="1"/>
  <c r="J149" i="1"/>
  <c r="J97" i="1"/>
  <c r="J95" i="1"/>
  <c r="J94" i="1"/>
  <c r="J96" i="1"/>
  <c r="J334" i="1" l="1"/>
  <c r="J337" i="1"/>
  <c r="J336" i="1"/>
  <c r="J335" i="1"/>
  <c r="J851" i="1"/>
  <c r="J849" i="1"/>
  <c r="J848" i="1"/>
  <c r="J850" i="1"/>
  <c r="J964" i="1"/>
  <c r="J967" i="1"/>
  <c r="J966" i="1"/>
  <c r="J965" i="1"/>
  <c r="J619" i="1"/>
  <c r="J616" i="1"/>
  <c r="J617" i="1"/>
  <c r="J618" i="1"/>
  <c r="J1082" i="1"/>
  <c r="J1083" i="1"/>
  <c r="J1080" i="1"/>
  <c r="J1081" i="1"/>
  <c r="J391" i="1"/>
  <c r="J390" i="1"/>
  <c r="J389" i="1"/>
  <c r="J388" i="1"/>
  <c r="J559" i="1"/>
  <c r="J558" i="1"/>
  <c r="J561" i="1"/>
  <c r="J560" i="1"/>
  <c r="J507" i="1"/>
  <c r="J504" i="1"/>
  <c r="J506" i="1"/>
  <c r="J505" i="1"/>
  <c r="J451" i="1"/>
  <c r="J453" i="1"/>
  <c r="J452" i="1"/>
  <c r="J450" i="1"/>
  <c r="J217" i="1"/>
  <c r="J216" i="1"/>
  <c r="J215" i="1"/>
  <c r="J214" i="1"/>
  <c r="J793" i="1"/>
  <c r="J790" i="1"/>
  <c r="J792" i="1"/>
  <c r="J791" i="1"/>
  <c r="J287" i="1"/>
  <c r="J284" i="1"/>
  <c r="J286" i="1"/>
  <c r="J285" i="1"/>
  <c r="J1028" i="1"/>
  <c r="J1026" i="1"/>
  <c r="J1029" i="1"/>
  <c r="J1027" i="1"/>
  <c r="J909" i="1"/>
  <c r="J908" i="1"/>
  <c r="J906" i="1"/>
  <c r="J907" i="1"/>
  <c r="J1141" i="1"/>
  <c r="J1140" i="1"/>
  <c r="J1138" i="1"/>
  <c r="J1139" i="1"/>
  <c r="J680" i="1"/>
  <c r="J679" i="1"/>
  <c r="J678" i="1"/>
  <c r="J681" i="1"/>
  <c r="J733" i="1"/>
  <c r="J732" i="1"/>
  <c r="J735" i="1"/>
  <c r="J734" i="1"/>
  <c r="J153" i="1"/>
  <c r="J152" i="1"/>
  <c r="J155" i="1"/>
  <c r="J154" i="1"/>
  <c r="J101" i="1"/>
  <c r="J100" i="1"/>
  <c r="J99" i="1"/>
  <c r="J98" i="1"/>
  <c r="J341" i="1" l="1"/>
  <c r="J340" i="1"/>
  <c r="J338" i="1"/>
  <c r="J339" i="1"/>
  <c r="J1087" i="1"/>
  <c r="J1085" i="1"/>
  <c r="J1084" i="1"/>
  <c r="J1086" i="1"/>
  <c r="J971" i="1"/>
  <c r="J969" i="1"/>
  <c r="J968" i="1"/>
  <c r="J970" i="1"/>
  <c r="J621" i="1"/>
  <c r="J620" i="1"/>
  <c r="J622" i="1"/>
  <c r="J623" i="1"/>
  <c r="J855" i="1"/>
  <c r="J854" i="1"/>
  <c r="J853" i="1"/>
  <c r="J852" i="1"/>
  <c r="J508" i="1"/>
  <c r="J509" i="1"/>
  <c r="J510" i="1"/>
  <c r="J511" i="1"/>
  <c r="J394" i="1"/>
  <c r="J395" i="1"/>
  <c r="J393" i="1"/>
  <c r="J392" i="1"/>
  <c r="J1145" i="1"/>
  <c r="J1144" i="1"/>
  <c r="J1143" i="1"/>
  <c r="J1142" i="1"/>
  <c r="J218" i="1"/>
  <c r="J221" i="1"/>
  <c r="J220" i="1"/>
  <c r="J219" i="1"/>
  <c r="J565" i="1"/>
  <c r="J564" i="1"/>
  <c r="J563" i="1"/>
  <c r="J562" i="1"/>
  <c r="J682" i="1"/>
  <c r="J685" i="1"/>
  <c r="J684" i="1"/>
  <c r="J683" i="1"/>
  <c r="J913" i="1"/>
  <c r="J912" i="1"/>
  <c r="J911" i="1"/>
  <c r="J910" i="1"/>
  <c r="J1032" i="1"/>
  <c r="J1030" i="1"/>
  <c r="J1031" i="1"/>
  <c r="J1033" i="1"/>
  <c r="J739" i="1"/>
  <c r="J738" i="1"/>
  <c r="J737" i="1"/>
  <c r="J736" i="1"/>
  <c r="J290" i="1"/>
  <c r="J289" i="1"/>
  <c r="J288" i="1"/>
  <c r="J795" i="1"/>
  <c r="J797" i="1"/>
  <c r="J796" i="1"/>
  <c r="J794" i="1"/>
  <c r="J455" i="1"/>
  <c r="J454" i="1"/>
  <c r="J456" i="1"/>
  <c r="J457" i="1"/>
  <c r="J159" i="1"/>
  <c r="J158" i="1"/>
  <c r="J157" i="1"/>
  <c r="J156" i="1"/>
  <c r="M121" i="1" s="1"/>
  <c r="J104" i="1"/>
  <c r="J105" i="1"/>
  <c r="J102" i="1"/>
  <c r="J103" i="1"/>
  <c r="M63" i="1" s="1"/>
  <c r="N64" i="1" l="1"/>
  <c r="K62" i="1" s="1"/>
  <c r="M122" i="1"/>
  <c r="J343" i="1"/>
  <c r="J345" i="1"/>
  <c r="J342" i="1"/>
  <c r="J344" i="1"/>
  <c r="N238" i="1"/>
  <c r="K236" i="1" s="1"/>
  <c r="J625" i="1"/>
  <c r="J624" i="1"/>
  <c r="J626" i="1"/>
  <c r="J627" i="1"/>
  <c r="J857" i="1"/>
  <c r="J856" i="1"/>
  <c r="J859" i="1"/>
  <c r="J858" i="1"/>
  <c r="J973" i="1"/>
  <c r="J975" i="1"/>
  <c r="J972" i="1"/>
  <c r="J974" i="1"/>
  <c r="J1088" i="1"/>
  <c r="J1089" i="1"/>
  <c r="J1091" i="1"/>
  <c r="J1090" i="1"/>
  <c r="M295" i="1"/>
  <c r="O296" i="1"/>
  <c r="M296" i="1"/>
  <c r="P296" i="1"/>
  <c r="P294" i="1"/>
  <c r="N295" i="1"/>
  <c r="N294" i="1"/>
  <c r="P295" i="1"/>
  <c r="M294" i="1"/>
  <c r="O294" i="1"/>
  <c r="O295" i="1"/>
  <c r="J686" i="1"/>
  <c r="J689" i="1"/>
  <c r="J688" i="1"/>
  <c r="J687" i="1"/>
  <c r="J222" i="1"/>
  <c r="J223" i="1"/>
  <c r="J224" i="1"/>
  <c r="J225" i="1"/>
  <c r="J398" i="1"/>
  <c r="J399" i="1"/>
  <c r="J396" i="1"/>
  <c r="J397" i="1"/>
  <c r="J743" i="1"/>
  <c r="J740" i="1"/>
  <c r="J742" i="1"/>
  <c r="J741" i="1"/>
  <c r="J916" i="1"/>
  <c r="J917" i="1"/>
  <c r="J915" i="1"/>
  <c r="J914" i="1"/>
  <c r="J512" i="1"/>
  <c r="J513" i="1"/>
  <c r="J515" i="1"/>
  <c r="J514" i="1"/>
  <c r="J459" i="1"/>
  <c r="J458" i="1"/>
  <c r="J460" i="1"/>
  <c r="J461" i="1"/>
  <c r="J1036" i="1"/>
  <c r="J1034" i="1"/>
  <c r="J1037" i="1"/>
  <c r="J1035" i="1"/>
  <c r="J798" i="1"/>
  <c r="J800" i="1"/>
  <c r="J799" i="1"/>
  <c r="J801" i="1"/>
  <c r="O238" i="1"/>
  <c r="P238" i="1"/>
  <c r="O237" i="1"/>
  <c r="P237" i="1"/>
  <c r="M236" i="1"/>
  <c r="M237" i="1"/>
  <c r="O236" i="1"/>
  <c r="N236" i="1"/>
  <c r="M238" i="1"/>
  <c r="P236" i="1"/>
  <c r="N237" i="1"/>
  <c r="J569" i="1"/>
  <c r="J566" i="1"/>
  <c r="J568" i="1"/>
  <c r="J567" i="1"/>
  <c r="J1148" i="1"/>
  <c r="J1149" i="1"/>
  <c r="J1146" i="1"/>
  <c r="J1147" i="1"/>
  <c r="J163" i="1"/>
  <c r="J160" i="1"/>
  <c r="J161" i="1"/>
  <c r="J162" i="1"/>
  <c r="J108" i="1"/>
  <c r="J109" i="1"/>
  <c r="J106" i="1"/>
  <c r="J107" i="1"/>
  <c r="J348" i="1" l="1"/>
  <c r="N296" i="1" s="1"/>
  <c r="K294" i="1" s="1"/>
  <c r="J346" i="1"/>
  <c r="J347" i="1"/>
  <c r="J628" i="1"/>
  <c r="J629" i="1"/>
  <c r="J631" i="1"/>
  <c r="J630" i="1"/>
  <c r="J1095" i="1"/>
  <c r="J1094" i="1"/>
  <c r="J1092" i="1"/>
  <c r="J1093" i="1"/>
  <c r="J863" i="1"/>
  <c r="J862" i="1"/>
  <c r="J860" i="1"/>
  <c r="J861" i="1"/>
  <c r="J978" i="1"/>
  <c r="J977" i="1"/>
  <c r="J979" i="1"/>
  <c r="J976" i="1"/>
  <c r="J463" i="1"/>
  <c r="J464" i="1"/>
  <c r="J462" i="1"/>
  <c r="J229" i="1"/>
  <c r="J227" i="1"/>
  <c r="J226" i="1"/>
  <c r="J228" i="1"/>
  <c r="J1152" i="1"/>
  <c r="J1153" i="1"/>
  <c r="J1151" i="1"/>
  <c r="J1150" i="1"/>
  <c r="J747" i="1"/>
  <c r="J744" i="1"/>
  <c r="J746" i="1"/>
  <c r="J745" i="1"/>
  <c r="J572" i="1"/>
  <c r="J571" i="1"/>
  <c r="J570" i="1"/>
  <c r="J573" i="1"/>
  <c r="J1040" i="1"/>
  <c r="J1038" i="1"/>
  <c r="J1041" i="1"/>
  <c r="J1039" i="1"/>
  <c r="J519" i="1"/>
  <c r="J517" i="1"/>
  <c r="J516" i="1"/>
  <c r="J518" i="1"/>
  <c r="J802" i="1"/>
  <c r="J804" i="1"/>
  <c r="J803" i="1"/>
  <c r="J805" i="1"/>
  <c r="J920" i="1"/>
  <c r="J921" i="1"/>
  <c r="J919" i="1"/>
  <c r="J918" i="1"/>
  <c r="J402" i="1"/>
  <c r="J403" i="1"/>
  <c r="J401" i="1"/>
  <c r="J400" i="1"/>
  <c r="J693" i="1"/>
  <c r="J691" i="1"/>
  <c r="J690" i="1"/>
  <c r="J692" i="1"/>
  <c r="J167" i="1"/>
  <c r="J164" i="1"/>
  <c r="J166" i="1"/>
  <c r="J165" i="1"/>
  <c r="J112" i="1"/>
  <c r="J113" i="1"/>
  <c r="J111" i="1"/>
  <c r="J110" i="1"/>
  <c r="J982" i="1" l="1"/>
  <c r="J980" i="1"/>
  <c r="J983" i="1"/>
  <c r="J981" i="1"/>
  <c r="J634" i="1"/>
  <c r="J633" i="1"/>
  <c r="J632" i="1"/>
  <c r="J635" i="1"/>
  <c r="J867" i="1"/>
  <c r="J866" i="1"/>
  <c r="J865" i="1"/>
  <c r="J864" i="1"/>
  <c r="J1097" i="1"/>
  <c r="J1096" i="1"/>
  <c r="J1098" i="1"/>
  <c r="J1099" i="1"/>
  <c r="J924" i="1"/>
  <c r="J925" i="1"/>
  <c r="J922" i="1"/>
  <c r="J923" i="1"/>
  <c r="J694" i="1"/>
  <c r="J696" i="1"/>
  <c r="J695" i="1"/>
  <c r="J521" i="1"/>
  <c r="J520" i="1"/>
  <c r="J522" i="1"/>
  <c r="O412" i="1"/>
  <c r="P410" i="1"/>
  <c r="P411" i="1"/>
  <c r="N410" i="1"/>
  <c r="M412" i="1"/>
  <c r="N411" i="1"/>
  <c r="P412" i="1"/>
  <c r="M410" i="1"/>
  <c r="O411" i="1"/>
  <c r="N412" i="1"/>
  <c r="M411" i="1"/>
  <c r="O410" i="1"/>
  <c r="J751" i="1"/>
  <c r="J749" i="1"/>
  <c r="J748" i="1"/>
  <c r="J750" i="1"/>
  <c r="J809" i="1"/>
  <c r="J807" i="1"/>
  <c r="J806" i="1"/>
  <c r="J808" i="1"/>
  <c r="J576" i="1"/>
  <c r="J575" i="1"/>
  <c r="J574" i="1"/>
  <c r="J577" i="1"/>
  <c r="J404" i="1"/>
  <c r="J406" i="1"/>
  <c r="J405" i="1"/>
  <c r="J1042" i="1"/>
  <c r="J1043" i="1"/>
  <c r="J1044" i="1"/>
  <c r="J1156" i="1"/>
  <c r="J1157" i="1"/>
  <c r="J1155" i="1"/>
  <c r="J1154" i="1"/>
  <c r="J230" i="1"/>
  <c r="J232" i="1"/>
  <c r="J231" i="1"/>
  <c r="J171" i="1"/>
  <c r="J169" i="1"/>
  <c r="J168" i="1"/>
  <c r="J170" i="1"/>
  <c r="J114" i="1"/>
  <c r="J116" i="1"/>
  <c r="J115" i="1"/>
  <c r="J1100" i="1" l="1"/>
  <c r="J1102" i="1"/>
  <c r="J1101" i="1"/>
  <c r="J636" i="1"/>
  <c r="J638" i="1"/>
  <c r="J637" i="1"/>
  <c r="J985" i="1"/>
  <c r="J986" i="1"/>
  <c r="J984" i="1"/>
  <c r="J870" i="1"/>
  <c r="J868" i="1"/>
  <c r="J869" i="1"/>
  <c r="J1158" i="1"/>
  <c r="J1160" i="1"/>
  <c r="J1159" i="1"/>
  <c r="J578" i="1"/>
  <c r="J579" i="1"/>
  <c r="J580" i="1"/>
  <c r="N178" i="1"/>
  <c r="O179" i="1"/>
  <c r="P179" i="1"/>
  <c r="M178" i="1"/>
  <c r="O178" i="1"/>
  <c r="P180" i="1"/>
  <c r="N180" i="1"/>
  <c r="K178" i="1" s="1"/>
  <c r="P178" i="1"/>
  <c r="N179" i="1"/>
  <c r="M179" i="1"/>
  <c r="O180" i="1"/>
  <c r="M180" i="1"/>
  <c r="M643" i="1"/>
  <c r="O644" i="1"/>
  <c r="O642" i="1"/>
  <c r="M644" i="1"/>
  <c r="O643" i="1"/>
  <c r="N643" i="1"/>
  <c r="N642" i="1"/>
  <c r="P642" i="1"/>
  <c r="P644" i="1"/>
  <c r="M642" i="1"/>
  <c r="P643" i="1"/>
  <c r="N644" i="1"/>
  <c r="K642" i="1" s="1"/>
  <c r="M992" i="1"/>
  <c r="P991" i="1"/>
  <c r="O992" i="1"/>
  <c r="M990" i="1"/>
  <c r="O991" i="1"/>
  <c r="P990" i="1"/>
  <c r="N990" i="1"/>
  <c r="O990" i="1"/>
  <c r="M991" i="1"/>
  <c r="N991" i="1"/>
  <c r="N992" i="1"/>
  <c r="K990" i="1" s="1"/>
  <c r="P992" i="1"/>
  <c r="M353" i="1"/>
  <c r="P354" i="1"/>
  <c r="P352" i="1"/>
  <c r="N354" i="1"/>
  <c r="K352" i="1" s="1"/>
  <c r="N352" i="1"/>
  <c r="O354" i="1"/>
  <c r="M352" i="1"/>
  <c r="M354" i="1"/>
  <c r="N353" i="1"/>
  <c r="O352" i="1"/>
  <c r="P353" i="1"/>
  <c r="O353" i="1"/>
  <c r="J926" i="1"/>
  <c r="J928" i="1"/>
  <c r="J927" i="1"/>
  <c r="P470" i="1"/>
  <c r="M470" i="1"/>
  <c r="N470" i="1"/>
  <c r="P469" i="1"/>
  <c r="O470" i="1"/>
  <c r="M468" i="1"/>
  <c r="O468" i="1"/>
  <c r="N468" i="1"/>
  <c r="P468" i="1"/>
  <c r="O469" i="1"/>
  <c r="N469" i="1"/>
  <c r="M469" i="1"/>
  <c r="J810" i="1"/>
  <c r="J812" i="1"/>
  <c r="J811" i="1"/>
  <c r="J754" i="1"/>
  <c r="J752" i="1"/>
  <c r="J753" i="1"/>
  <c r="J174" i="1"/>
  <c r="J172" i="1"/>
  <c r="J173" i="1"/>
  <c r="P64" i="1"/>
  <c r="M62" i="1"/>
  <c r="N63" i="1"/>
  <c r="M64" i="1"/>
  <c r="O64" i="1"/>
  <c r="N62" i="1"/>
  <c r="O63" i="1"/>
  <c r="P63" i="1"/>
  <c r="P62" i="1"/>
  <c r="O62" i="1"/>
  <c r="N817" i="1" l="1"/>
  <c r="M817" i="1"/>
  <c r="M816" i="1"/>
  <c r="N932" i="1"/>
  <c r="M933" i="1"/>
  <c r="O933" i="1"/>
  <c r="M932" i="1"/>
  <c r="O932" i="1"/>
  <c r="N934" i="1"/>
  <c r="K932" i="1" s="1"/>
  <c r="P932" i="1"/>
  <c r="M934" i="1"/>
  <c r="P934" i="1"/>
  <c r="O934" i="1"/>
  <c r="N933" i="1"/>
  <c r="P933" i="1"/>
  <c r="O817" i="1"/>
  <c r="M818" i="1"/>
  <c r="P817" i="1"/>
  <c r="O818" i="1"/>
  <c r="P818" i="1"/>
  <c r="O816" i="1"/>
  <c r="P1049" i="1"/>
  <c r="N1050" i="1"/>
  <c r="K1048" i="1" s="1"/>
  <c r="P1048" i="1"/>
  <c r="M1049" i="1"/>
  <c r="N1049" i="1"/>
  <c r="O1049" i="1"/>
  <c r="N1048" i="1"/>
  <c r="M1048" i="1"/>
  <c r="P1050" i="1"/>
  <c r="O1048" i="1"/>
  <c r="O1050" i="1"/>
  <c r="M1050" i="1"/>
  <c r="N816" i="1"/>
  <c r="N818" i="1"/>
  <c r="K816" i="1" s="1"/>
  <c r="P816" i="1"/>
  <c r="O586" i="1"/>
  <c r="P586" i="1"/>
  <c r="M584" i="1"/>
  <c r="N586" i="1"/>
  <c r="P584" i="1"/>
  <c r="P585" i="1"/>
  <c r="M585" i="1"/>
  <c r="N585" i="1"/>
  <c r="O584" i="1"/>
  <c r="N584" i="1"/>
  <c r="M586" i="1"/>
  <c r="O585" i="1"/>
  <c r="N700" i="1"/>
  <c r="M700" i="1"/>
  <c r="M702" i="1"/>
  <c r="P700" i="1"/>
  <c r="O700" i="1"/>
  <c r="O702" i="1"/>
  <c r="P701" i="1"/>
  <c r="M701" i="1"/>
  <c r="O701" i="1"/>
  <c r="N701" i="1"/>
  <c r="P702" i="1"/>
  <c r="N702" i="1"/>
  <c r="K700" i="1" s="1"/>
  <c r="P874" i="1"/>
  <c r="N876" i="1"/>
  <c r="M875" i="1"/>
  <c r="M876" i="1"/>
  <c r="P875" i="1"/>
  <c r="O875" i="1"/>
  <c r="O876" i="1"/>
  <c r="M874" i="1"/>
  <c r="N875" i="1"/>
  <c r="P876" i="1"/>
  <c r="N874" i="1"/>
  <c r="O874" i="1"/>
  <c r="O526" i="1"/>
  <c r="M526" i="1"/>
  <c r="M527" i="1"/>
  <c r="P526" i="1"/>
  <c r="N527" i="1"/>
  <c r="P528" i="1"/>
  <c r="O528" i="1"/>
  <c r="N526" i="1"/>
  <c r="O527" i="1"/>
  <c r="P527" i="1"/>
  <c r="M528" i="1"/>
  <c r="N528" i="1"/>
  <c r="O1106" i="1"/>
  <c r="P1108" i="1"/>
  <c r="M1107" i="1"/>
  <c r="P1107" i="1"/>
  <c r="O1108" i="1"/>
  <c r="M1108" i="1"/>
  <c r="N1106" i="1"/>
  <c r="M1106" i="1"/>
  <c r="O1107" i="1"/>
  <c r="N1107" i="1"/>
  <c r="P1106" i="1"/>
  <c r="N1108" i="1"/>
  <c r="K1106" i="1" s="1"/>
  <c r="M760" i="1"/>
  <c r="P758" i="1"/>
  <c r="M759" i="1"/>
  <c r="N758" i="1"/>
  <c r="N760" i="1"/>
  <c r="K758" i="1" s="1"/>
  <c r="P760" i="1"/>
  <c r="O758" i="1"/>
  <c r="O759" i="1"/>
  <c r="M758" i="1"/>
  <c r="P759" i="1"/>
  <c r="O760" i="1"/>
  <c r="N759" i="1"/>
  <c r="P120" i="1"/>
  <c r="P121" i="1"/>
  <c r="O120" i="1"/>
  <c r="P122" i="1"/>
  <c r="M120" i="1"/>
  <c r="O122" i="1"/>
  <c r="O121" i="1"/>
  <c r="N120" i="1"/>
  <c r="N121" i="1"/>
  <c r="N122" i="1"/>
  <c r="K120" i="1" s="1"/>
  <c r="I1" i="1" l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A7" i="2"/>
  <c r="A8" i="2" s="1"/>
  <c r="B26" i="2"/>
  <c r="C26" i="2" s="1"/>
  <c r="D26" i="2" s="1"/>
  <c r="E26" i="2" s="1"/>
  <c r="F26" i="2" s="1"/>
  <c r="G26" i="2" s="1"/>
  <c r="H26" i="2" s="1"/>
  <c r="I26" i="2" s="1"/>
  <c r="J26" i="2" s="1"/>
  <c r="K26" i="2" s="1"/>
  <c r="L26" i="2" s="1"/>
  <c r="M26" i="2" s="1"/>
  <c r="N26" i="2" s="1"/>
  <c r="O26" i="2" s="1"/>
  <c r="P26" i="2" s="1"/>
  <c r="Q26" i="2" s="1"/>
  <c r="R26" i="2" s="1"/>
  <c r="S26" i="2" s="1"/>
  <c r="T26" i="2" s="1"/>
  <c r="U26" i="2" s="1"/>
  <c r="V26" i="2" s="1"/>
  <c r="W26" i="2" s="1"/>
  <c r="X26" i="2" s="1"/>
  <c r="Y26" i="2" s="1"/>
  <c r="Z26" i="2" s="1"/>
  <c r="AA26" i="2" s="1"/>
  <c r="AB26" i="2" s="1"/>
  <c r="AC26" i="2" s="1"/>
  <c r="AD26" i="2" s="1"/>
  <c r="AE26" i="2" s="1"/>
  <c r="AF26" i="2" s="1"/>
  <c r="AG26" i="2" s="1"/>
  <c r="AH26" i="2" s="1"/>
  <c r="AI26" i="2" s="1"/>
  <c r="AJ26" i="2" s="1"/>
  <c r="AK26" i="2" s="1"/>
  <c r="AL26" i="2" s="1"/>
  <c r="AM26" i="2" s="1"/>
  <c r="AN26" i="2" s="1"/>
  <c r="AO26" i="2" s="1"/>
  <c r="AP26" i="2" s="1"/>
  <c r="AQ26" i="2" s="1"/>
  <c r="AR26" i="2" s="1"/>
  <c r="AS26" i="2" s="1"/>
  <c r="AT26" i="2" s="1"/>
  <c r="AU26" i="2" s="1"/>
  <c r="AV26" i="2" s="1"/>
  <c r="AW26" i="2" s="1"/>
  <c r="AX26" i="2" s="1"/>
  <c r="AY26" i="2" s="1"/>
  <c r="AZ26" i="2" s="1"/>
  <c r="BA26" i="2" s="1"/>
  <c r="BB26" i="2" s="1"/>
  <c r="BC26" i="2" s="1"/>
  <c r="BD26" i="2" s="1"/>
  <c r="BE26" i="2" s="1"/>
  <c r="BF26" i="2" s="1"/>
  <c r="BG26" i="2" s="1"/>
  <c r="BH26" i="2" s="1"/>
  <c r="BI26" i="2" s="1"/>
  <c r="BJ26" i="2" s="1"/>
  <c r="BK26" i="2" s="1"/>
  <c r="BL26" i="2" s="1"/>
  <c r="BM26" i="2" s="1"/>
  <c r="BN26" i="2" s="1"/>
  <c r="BO26" i="2" s="1"/>
  <c r="BP26" i="2" s="1"/>
  <c r="BQ26" i="2" s="1"/>
  <c r="BR26" i="2" s="1"/>
  <c r="BS26" i="2" s="1"/>
  <c r="BT26" i="2" s="1"/>
  <c r="BU26" i="2" s="1"/>
  <c r="BV26" i="2" s="1"/>
  <c r="BW26" i="2" s="1"/>
  <c r="BX26" i="2" s="1"/>
  <c r="BY26" i="2" s="1"/>
  <c r="BZ26" i="2" s="1"/>
  <c r="CA26" i="2" s="1"/>
  <c r="CB26" i="2" s="1"/>
  <c r="CC26" i="2" s="1"/>
  <c r="V5" i="2"/>
  <c r="V4" i="2"/>
  <c r="W3" i="2"/>
  <c r="W5" i="2" s="1"/>
  <c r="W2" i="2"/>
  <c r="X3" i="2" l="1"/>
  <c r="X5" i="2" s="1"/>
  <c r="A9" i="2"/>
  <c r="X2" i="2"/>
  <c r="Y3" i="2" l="1"/>
  <c r="Y5" i="2" s="1"/>
  <c r="A10" i="2"/>
  <c r="Y2" i="2"/>
  <c r="Z3" i="2" l="1"/>
  <c r="Z4" i="2" s="1"/>
  <c r="A11" i="2"/>
  <c r="Z2" i="2"/>
  <c r="AA3" i="2" l="1"/>
  <c r="Z5" i="2"/>
  <c r="A12" i="2"/>
  <c r="AA5" i="2"/>
  <c r="AB3" i="2"/>
  <c r="AA2" i="2"/>
  <c r="A13" i="2" l="1"/>
  <c r="AB5" i="2"/>
  <c r="AC3" i="2"/>
  <c r="AB2" i="2"/>
  <c r="A14" i="2" l="1"/>
  <c r="AC5" i="2"/>
  <c r="AD3" i="2"/>
  <c r="AC2" i="2"/>
  <c r="A15" i="2" l="1"/>
  <c r="AE3" i="2"/>
  <c r="AD5" i="2"/>
  <c r="AD4" i="2"/>
  <c r="AD2" i="2"/>
  <c r="A16" i="2" l="1"/>
  <c r="AE2" i="2"/>
  <c r="AE5" i="2"/>
  <c r="AF3" i="2"/>
  <c r="A17" i="2" l="1"/>
  <c r="AF5" i="2"/>
  <c r="AG3" i="2"/>
  <c r="AF2" i="2"/>
  <c r="A18" i="2" l="1"/>
  <c r="AG2" i="2"/>
  <c r="AG5" i="2"/>
  <c r="AH3" i="2"/>
  <c r="A19" i="2" l="1"/>
  <c r="AH2" i="2"/>
  <c r="AI3" i="2"/>
  <c r="AH5" i="2"/>
  <c r="AH4" i="2"/>
  <c r="A20" i="2" l="1"/>
  <c r="AI5" i="2"/>
  <c r="AJ3" i="2"/>
  <c r="AI2" i="2"/>
  <c r="A21" i="2" l="1"/>
  <c r="AJ2" i="2"/>
  <c r="AJ5" i="2"/>
  <c r="AK3" i="2"/>
  <c r="A22" i="2" l="1"/>
  <c r="AK5" i="2"/>
  <c r="AL3" i="2"/>
  <c r="AK2" i="2"/>
  <c r="A23" i="2" l="1"/>
  <c r="AL2" i="2"/>
  <c r="AM3" i="2"/>
  <c r="AL4" i="2"/>
  <c r="AL5" i="2"/>
  <c r="A24" i="2" l="1"/>
  <c r="AM2" i="2"/>
  <c r="AN3" i="2"/>
  <c r="AM5" i="2"/>
  <c r="A25" i="2" l="1"/>
  <c r="AN2" i="2"/>
  <c r="AN5" i="2"/>
  <c r="AO3" i="2"/>
  <c r="AO2" i="2" l="1"/>
  <c r="AO5" i="2"/>
  <c r="AP3" i="2"/>
  <c r="AP4" i="2" l="1"/>
  <c r="AQ3" i="2"/>
  <c r="AP5" i="2"/>
  <c r="AP2" i="2"/>
  <c r="AQ2" i="2" l="1"/>
  <c r="AQ5" i="2"/>
  <c r="AR3" i="2"/>
  <c r="AR2" i="2" l="1"/>
  <c r="AR5" i="2"/>
  <c r="AS3" i="2"/>
  <c r="AS2" i="2" l="1"/>
  <c r="AS5" i="2"/>
  <c r="AT3" i="2"/>
  <c r="AT2" i="2" l="1"/>
  <c r="AU3" i="2"/>
  <c r="AT4" i="2"/>
  <c r="AT5" i="2"/>
  <c r="AU2" i="2" l="1"/>
  <c r="AU5" i="2"/>
  <c r="AV3" i="2"/>
  <c r="AV2" i="2" l="1"/>
  <c r="AV5" i="2"/>
  <c r="AW3" i="2"/>
  <c r="AW2" i="2" l="1"/>
  <c r="AW5" i="2"/>
  <c r="AX3" i="2"/>
  <c r="AX2" i="2" l="1"/>
  <c r="AY3" i="2"/>
  <c r="AX5" i="2"/>
  <c r="AX4" i="2"/>
  <c r="AY5" i="2" l="1"/>
  <c r="AZ3" i="2"/>
  <c r="AY2" i="2"/>
  <c r="AZ2" i="2" l="1"/>
  <c r="AZ5" i="2"/>
  <c r="BA3" i="2"/>
  <c r="BA5" i="2" l="1"/>
  <c r="BB3" i="2"/>
  <c r="BA2" i="2"/>
  <c r="BB2" i="2" l="1"/>
  <c r="BC3" i="2"/>
  <c r="BB4" i="2"/>
  <c r="BB5" i="2"/>
  <c r="BC5" i="2" l="1"/>
  <c r="BD3" i="2"/>
  <c r="BC2" i="2"/>
  <c r="BD5" i="2" l="1"/>
  <c r="BE3" i="2"/>
  <c r="BD2" i="2"/>
  <c r="BE2" i="2" l="1"/>
  <c r="BE5" i="2"/>
  <c r="BF3" i="2"/>
  <c r="BF4" i="2" l="1"/>
  <c r="BG3" i="2"/>
  <c r="BF5" i="2"/>
  <c r="BF2" i="2"/>
  <c r="BG2" i="2" l="1"/>
  <c r="BG5" i="2"/>
  <c r="BH3" i="2"/>
  <c r="BH2" i="2" l="1"/>
  <c r="BH5" i="2"/>
  <c r="BI3" i="2"/>
  <c r="BI5" i="2" l="1"/>
  <c r="BJ3" i="2"/>
  <c r="BI2" i="2"/>
  <c r="BJ2" i="2" s="1"/>
  <c r="BK2" i="2" s="1"/>
  <c r="BL2" i="2" s="1"/>
  <c r="BM2" i="2" s="1"/>
  <c r="BN2" i="2" s="1"/>
  <c r="BO2" i="2" s="1"/>
  <c r="BP2" i="2" s="1"/>
  <c r="BQ2" i="2" s="1"/>
  <c r="BR2" i="2" s="1"/>
  <c r="BS2" i="2" s="1"/>
  <c r="BT2" i="2" s="1"/>
  <c r="BU2" i="2" s="1"/>
  <c r="BV2" i="2" s="1"/>
  <c r="BW2" i="2" s="1"/>
  <c r="BX2" i="2" s="1"/>
  <c r="BY2" i="2" s="1"/>
  <c r="BZ2" i="2" s="1"/>
  <c r="CA2" i="2" s="1"/>
  <c r="CB2" i="2" s="1"/>
  <c r="CC2" i="2" s="1"/>
  <c r="BK3" i="2" l="1"/>
  <c r="BJ4" i="2"/>
  <c r="BJ5" i="2"/>
  <c r="BK5" i="2" l="1"/>
  <c r="BL3" i="2"/>
  <c r="BM3" i="2" l="1"/>
  <c r="BL5" i="2"/>
  <c r="BM5" i="2" l="1"/>
  <c r="BN3" i="2"/>
  <c r="BN4" i="2" l="1"/>
  <c r="BN5" i="2"/>
  <c r="BO3" i="2"/>
  <c r="BO5" i="2" l="1"/>
  <c r="BP3" i="2"/>
  <c r="BQ3" i="2" l="1"/>
  <c r="BP5" i="2"/>
  <c r="BQ5" i="2" l="1"/>
  <c r="BR3" i="2"/>
  <c r="BS3" i="2" l="1"/>
  <c r="BR5" i="2"/>
  <c r="BR4" i="2"/>
  <c r="BS5" i="2" l="1"/>
  <c r="BT3" i="2"/>
  <c r="BU3" i="2" l="1"/>
  <c r="BT5" i="2"/>
  <c r="BU5" i="2" l="1"/>
  <c r="BV3" i="2"/>
  <c r="BV4" i="2" l="1"/>
  <c r="BW3" i="2"/>
  <c r="BV5" i="2"/>
  <c r="BW5" i="2" l="1"/>
  <c r="BX3" i="2"/>
  <c r="BY3" i="2" l="1"/>
  <c r="BX5" i="2"/>
  <c r="BY5" i="2" l="1"/>
  <c r="BZ3" i="2"/>
  <c r="CA3" i="2" l="1"/>
  <c r="BZ5" i="2"/>
  <c r="BZ4" i="2"/>
  <c r="CB3" i="2" l="1"/>
  <c r="CA5" i="2"/>
  <c r="CB5" i="2" l="1"/>
  <c r="CC3" i="2"/>
  <c r="CC5" i="2" s="1"/>
  <c r="O56" i="1" l="1" a="1"/>
  <c r="P57" i="1" s="1"/>
  <c r="N52" i="1" a="1"/>
  <c r="P53" i="1" s="1"/>
  <c r="M48" i="1" a="1"/>
  <c r="P50" i="1" s="1"/>
  <c r="M44" i="1" a="1"/>
  <c r="P46" i="1" s="1"/>
  <c r="M40" i="1" a="1"/>
  <c r="N42" i="1" s="1"/>
  <c r="M36" i="1" a="1"/>
  <c r="P38" i="1" s="1"/>
  <c r="L5" i="1"/>
  <c r="M32" i="1" a="1"/>
  <c r="M34" i="1" s="1"/>
  <c r="M28" i="1" a="1"/>
  <c r="N30" i="1" s="1"/>
  <c r="M24" i="1" a="1"/>
  <c r="M25" i="1" s="1"/>
  <c r="M20" i="1" a="1"/>
  <c r="P22" i="1" s="1"/>
  <c r="M16" i="1" a="1"/>
  <c r="M18" i="1" s="1"/>
  <c r="M12" i="1" a="1"/>
  <c r="M12" i="1" s="1"/>
  <c r="J11" i="1"/>
  <c r="J14" i="1" s="1"/>
  <c r="J10" i="1"/>
  <c r="J9" i="1"/>
  <c r="M8" i="1" a="1"/>
  <c r="P10" i="1" s="1"/>
  <c r="J8" i="1"/>
  <c r="S2" i="1"/>
  <c r="A2" i="1" s="1"/>
  <c r="L6" i="1" l="1"/>
  <c r="K6" i="1"/>
  <c r="N33" i="1"/>
  <c r="N20" i="1"/>
  <c r="O34" i="1"/>
  <c r="O42" i="1"/>
  <c r="M46" i="1"/>
  <c r="M21" i="1"/>
  <c r="N22" i="1"/>
  <c r="O32" i="1"/>
  <c r="O29" i="1"/>
  <c r="O58" i="1"/>
  <c r="O30" i="1"/>
  <c r="O40" i="1"/>
  <c r="O41" i="1"/>
  <c r="N54" i="1"/>
  <c r="P58" i="1"/>
  <c r="L4" i="1"/>
  <c r="M44" i="1"/>
  <c r="N21" i="1"/>
  <c r="O33" i="1"/>
  <c r="O56" i="1"/>
  <c r="M20" i="1"/>
  <c r="M22" i="1"/>
  <c r="O28" i="1"/>
  <c r="N32" i="1"/>
  <c r="N34" i="1"/>
  <c r="M45" i="1"/>
  <c r="P52" i="1"/>
  <c r="P56" i="1"/>
  <c r="P9" i="1"/>
  <c r="M9" i="1"/>
  <c r="M13" i="1"/>
  <c r="M14" i="1"/>
  <c r="O17" i="1"/>
  <c r="S3" i="1"/>
  <c r="A3" i="1" s="1"/>
  <c r="N8" i="1"/>
  <c r="N9" i="1"/>
  <c r="N10" i="1"/>
  <c r="N12" i="1"/>
  <c r="N13" i="1"/>
  <c r="N14" i="1"/>
  <c r="J15" i="1"/>
  <c r="O16" i="1"/>
  <c r="P17" i="1"/>
  <c r="M24" i="1"/>
  <c r="M26" i="1"/>
  <c r="P37" i="1"/>
  <c r="M8" i="1"/>
  <c r="M10" i="1"/>
  <c r="O8" i="1"/>
  <c r="O9" i="1"/>
  <c r="O10" i="1"/>
  <c r="J12" i="1"/>
  <c r="O12" i="1"/>
  <c r="O13" i="1"/>
  <c r="O14" i="1"/>
  <c r="J13" i="1"/>
  <c r="P16" i="1"/>
  <c r="P24" i="1"/>
  <c r="P26" i="1"/>
  <c r="P12" i="1"/>
  <c r="P13" i="1"/>
  <c r="P14" i="1"/>
  <c r="N18" i="1"/>
  <c r="N17" i="1"/>
  <c r="N16" i="1"/>
  <c r="M17" i="1"/>
  <c r="O18" i="1"/>
  <c r="O38" i="1"/>
  <c r="O37" i="1"/>
  <c r="O36" i="1"/>
  <c r="N38" i="1"/>
  <c r="N37" i="1"/>
  <c r="N36" i="1"/>
  <c r="M38" i="1"/>
  <c r="M37" i="1"/>
  <c r="M36" i="1"/>
  <c r="P8" i="1"/>
  <c r="M16" i="1"/>
  <c r="P18" i="1"/>
  <c r="O26" i="1"/>
  <c r="O25" i="1"/>
  <c r="O24" i="1"/>
  <c r="N26" i="1"/>
  <c r="N25" i="1"/>
  <c r="N24" i="1"/>
  <c r="P25" i="1"/>
  <c r="P36" i="1"/>
  <c r="P28" i="1"/>
  <c r="P29" i="1"/>
  <c r="P30" i="1"/>
  <c r="P40" i="1"/>
  <c r="P41" i="1"/>
  <c r="P42" i="1"/>
  <c r="N44" i="1"/>
  <c r="N45" i="1"/>
  <c r="N46" i="1"/>
  <c r="M48" i="1"/>
  <c r="M49" i="1"/>
  <c r="M50" i="1"/>
  <c r="N53" i="1"/>
  <c r="O54" i="1"/>
  <c r="O20" i="1"/>
  <c r="O21" i="1"/>
  <c r="O22" i="1"/>
  <c r="M28" i="1"/>
  <c r="M29" i="1"/>
  <c r="M30" i="1"/>
  <c r="P32" i="1"/>
  <c r="P33" i="1"/>
  <c r="P34" i="1"/>
  <c r="M40" i="1"/>
  <c r="M41" i="1"/>
  <c r="M42" i="1"/>
  <c r="O44" i="1"/>
  <c r="O45" i="1"/>
  <c r="O46" i="1"/>
  <c r="N48" i="1"/>
  <c r="N49" i="1"/>
  <c r="N50" i="1"/>
  <c r="N52" i="1"/>
  <c r="O53" i="1"/>
  <c r="P54" i="1"/>
  <c r="O57" i="1"/>
  <c r="P20" i="1"/>
  <c r="P21" i="1"/>
  <c r="N28" i="1"/>
  <c r="N29" i="1"/>
  <c r="M32" i="1"/>
  <c r="M33" i="1"/>
  <c r="N40" i="1"/>
  <c r="N41" i="1"/>
  <c r="P44" i="1"/>
  <c r="P45" i="1"/>
  <c r="O48" i="1"/>
  <c r="O49" i="1"/>
  <c r="O50" i="1"/>
  <c r="O52" i="1"/>
  <c r="P48" i="1"/>
  <c r="P49" i="1"/>
  <c r="J18" i="1" l="1"/>
  <c r="J17" i="1"/>
  <c r="J16" i="1"/>
  <c r="J19" i="1"/>
  <c r="S4" i="1"/>
  <c r="A4" i="1" s="1"/>
  <c r="J21" i="1" l="1"/>
  <c r="J20" i="1"/>
  <c r="J23" i="1"/>
  <c r="J22" i="1"/>
  <c r="S5" i="1"/>
  <c r="A5" i="1" s="1"/>
  <c r="B6" i="2" l="1"/>
  <c r="S6" i="1"/>
  <c r="A6" i="1" s="1"/>
  <c r="J25" i="1"/>
  <c r="J24" i="1"/>
  <c r="J26" i="1"/>
  <c r="J27" i="1"/>
  <c r="D6" i="2" l="1"/>
  <c r="C6" i="2"/>
  <c r="J30" i="1"/>
  <c r="J31" i="1"/>
  <c r="J28" i="1"/>
  <c r="J29" i="1"/>
  <c r="S7" i="1"/>
  <c r="A7" i="1" s="1"/>
  <c r="E6" i="2" l="1"/>
  <c r="S8" i="1"/>
  <c r="A8" i="1" s="1"/>
  <c r="J33" i="1"/>
  <c r="J34" i="1"/>
  <c r="J32" i="1"/>
  <c r="J35" i="1"/>
  <c r="F6" i="2" l="1"/>
  <c r="S9" i="1"/>
  <c r="A9" i="1" s="1"/>
  <c r="J37" i="1"/>
  <c r="J36" i="1"/>
  <c r="J38" i="1"/>
  <c r="J39" i="1"/>
  <c r="Q6" i="2" l="1"/>
  <c r="G6" i="2"/>
  <c r="J42" i="1"/>
  <c r="J43" i="1"/>
  <c r="J41" i="1"/>
  <c r="J40" i="1"/>
  <c r="S10" i="1"/>
  <c r="A10" i="1" s="1"/>
  <c r="H6" i="2" l="1"/>
  <c r="S11" i="1"/>
  <c r="A11" i="1" s="1"/>
  <c r="J47" i="1"/>
  <c r="J45" i="1"/>
  <c r="J44" i="1"/>
  <c r="J46" i="1"/>
  <c r="S12" i="1" l="1"/>
  <c r="A12" i="1" s="1"/>
  <c r="J49" i="1"/>
  <c r="J48" i="1"/>
  <c r="J50" i="1"/>
  <c r="J51" i="1"/>
  <c r="J54" i="1" l="1"/>
  <c r="J52" i="1"/>
  <c r="J55" i="1"/>
  <c r="J53" i="1"/>
  <c r="S13" i="1"/>
  <c r="A13" i="1" s="1"/>
  <c r="J57" i="1" l="1"/>
  <c r="J58" i="1"/>
  <c r="J56" i="1"/>
  <c r="S14" i="1"/>
  <c r="A14" i="1" s="1"/>
  <c r="O4" i="1" l="1"/>
  <c r="T6" i="2" s="1"/>
  <c r="P6" i="1"/>
  <c r="O5" i="1"/>
  <c r="M6" i="1"/>
  <c r="O6" i="1"/>
  <c r="N6" i="1"/>
  <c r="K4" i="1" s="1"/>
  <c r="P6" i="2" s="1"/>
  <c r="M5" i="1"/>
  <c r="P4" i="1"/>
  <c r="U6" i="2" s="1"/>
  <c r="P5" i="1"/>
  <c r="M4" i="1"/>
  <c r="R6" i="2" s="1"/>
  <c r="N5" i="1"/>
  <c r="N4" i="1"/>
  <c r="S6" i="2" s="1"/>
  <c r="S15" i="1"/>
  <c r="A15" i="1" s="1"/>
  <c r="S16" i="1" l="1"/>
  <c r="A16" i="1" s="1"/>
  <c r="S17" i="1" l="1"/>
  <c r="A17" i="1" s="1"/>
  <c r="S18" i="1" l="1"/>
  <c r="A18" i="1" s="1"/>
  <c r="S19" i="1" l="1"/>
  <c r="A19" i="1" s="1"/>
  <c r="S20" i="1" l="1"/>
  <c r="A20" i="1" s="1"/>
  <c r="S21" i="1" l="1"/>
  <c r="A21" i="1" s="1"/>
  <c r="S22" i="1" l="1"/>
  <c r="A22" i="1" s="1"/>
  <c r="S23" i="1" l="1"/>
  <c r="A23" i="1" s="1"/>
  <c r="S24" i="1" l="1"/>
  <c r="A24" i="1" s="1"/>
  <c r="S25" i="1" l="1"/>
  <c r="A25" i="1" s="1"/>
  <c r="S26" i="1" l="1"/>
  <c r="A26" i="1" s="1"/>
  <c r="S27" i="1" l="1"/>
  <c r="A27" i="1" s="1"/>
  <c r="S28" i="1" l="1"/>
  <c r="A28" i="1" s="1"/>
  <c r="S29" i="1" l="1"/>
  <c r="A29" i="1" s="1"/>
  <c r="S30" i="1" l="1"/>
  <c r="A30" i="1" s="1"/>
  <c r="S31" i="1" l="1"/>
  <c r="A31" i="1" s="1"/>
  <c r="S32" i="1" l="1"/>
  <c r="A32" i="1" s="1"/>
  <c r="S33" i="1" l="1"/>
  <c r="A33" i="1" s="1"/>
  <c r="S34" i="1" l="1"/>
  <c r="A34" i="1" s="1"/>
  <c r="S35" i="1" l="1"/>
  <c r="A35" i="1" s="1"/>
  <c r="S36" i="1" l="1"/>
  <c r="A36" i="1" s="1"/>
  <c r="S37" i="1" l="1"/>
  <c r="A37" i="1" s="1"/>
  <c r="S38" i="1" l="1"/>
  <c r="A38" i="1" s="1"/>
  <c r="S39" i="1" l="1"/>
  <c r="A39" i="1" s="1"/>
  <c r="S40" i="1" l="1"/>
  <c r="A40" i="1" s="1"/>
  <c r="S41" i="1" l="1"/>
  <c r="A41" i="1" s="1"/>
  <c r="S42" i="1" l="1"/>
  <c r="A42" i="1" s="1"/>
  <c r="S43" i="1" l="1"/>
  <c r="A43" i="1" s="1"/>
  <c r="S44" i="1" l="1"/>
  <c r="A44" i="1" s="1"/>
  <c r="S45" i="1" l="1"/>
  <c r="A45" i="1" s="1"/>
  <c r="S46" i="1" l="1"/>
  <c r="A46" i="1" s="1"/>
  <c r="S47" i="1" l="1"/>
  <c r="A47" i="1" s="1"/>
  <c r="S48" i="1" l="1"/>
  <c r="A48" i="1" s="1"/>
  <c r="S49" i="1" l="1"/>
  <c r="A49" i="1" s="1"/>
  <c r="S50" i="1" l="1"/>
  <c r="A50" i="1" s="1"/>
  <c r="S51" i="1" l="1"/>
  <c r="A51" i="1" s="1"/>
  <c r="S52" i="1" l="1"/>
  <c r="A52" i="1" s="1"/>
  <c r="S53" i="1" l="1"/>
  <c r="A53" i="1" s="1"/>
  <c r="S54" i="1" l="1"/>
  <c r="A54" i="1" s="1"/>
  <c r="S55" i="1" l="1"/>
  <c r="A55" i="1" s="1"/>
  <c r="S56" i="1" l="1"/>
  <c r="A56" i="1" s="1"/>
  <c r="S57" i="1" l="1"/>
  <c r="A57" i="1" s="1"/>
  <c r="S58" i="1" l="1"/>
  <c r="S60" i="1" l="1"/>
  <c r="A60" i="1" s="1"/>
  <c r="A58" i="1"/>
  <c r="S61" i="1"/>
  <c r="A61" i="1" s="1"/>
  <c r="S62" i="1" l="1"/>
  <c r="A62" i="1" s="1"/>
  <c r="C7" i="2"/>
  <c r="J6" i="2"/>
  <c r="N6" i="2"/>
  <c r="I6" i="2"/>
  <c r="K6" i="2"/>
  <c r="L6" i="2"/>
  <c r="O6" i="2"/>
  <c r="M6" i="2"/>
  <c r="S63" i="1" l="1"/>
  <c r="A63" i="1" s="1"/>
  <c r="S64" i="1" l="1"/>
  <c r="A64" i="1" s="1"/>
  <c r="B7" i="2"/>
  <c r="T7" i="2" l="1"/>
  <c r="R7" i="2"/>
  <c r="D7" i="2"/>
  <c r="S7" i="2"/>
  <c r="P7" i="2"/>
  <c r="U7" i="2"/>
  <c r="S65" i="1"/>
  <c r="A65" i="1" s="1"/>
  <c r="E7" i="2" l="1"/>
  <c r="Q7" i="2"/>
  <c r="S66" i="1"/>
  <c r="A66" i="1" s="1"/>
  <c r="S67" i="1" l="1"/>
  <c r="A67" i="1" s="1"/>
  <c r="F7" i="2"/>
  <c r="G7" i="2" l="1"/>
  <c r="S68" i="1"/>
  <c r="A68" i="1" s="1"/>
  <c r="H7" i="2" l="1"/>
  <c r="S69" i="1"/>
  <c r="A69" i="1" s="1"/>
  <c r="L7" i="2" l="1"/>
  <c r="I7" i="2"/>
  <c r="S70" i="1"/>
  <c r="A70" i="1" s="1"/>
  <c r="J7" i="2"/>
  <c r="K7" i="2"/>
  <c r="S71" i="1" l="1"/>
  <c r="A71" i="1" s="1"/>
  <c r="S72" i="1" l="1"/>
  <c r="A72" i="1" s="1"/>
  <c r="S73" i="1" l="1"/>
  <c r="A73" i="1" s="1"/>
  <c r="S74" i="1" l="1"/>
  <c r="A74" i="1" s="1"/>
  <c r="S75" i="1" l="1"/>
  <c r="A75" i="1" s="1"/>
  <c r="S76" i="1" l="1"/>
  <c r="A76" i="1" s="1"/>
  <c r="S77" i="1" l="1"/>
  <c r="A77" i="1" s="1"/>
  <c r="S78" i="1" l="1"/>
  <c r="A78" i="1" s="1"/>
  <c r="S79" i="1" l="1"/>
  <c r="A79" i="1" s="1"/>
  <c r="S80" i="1" l="1"/>
  <c r="A80" i="1" s="1"/>
  <c r="S81" i="1" l="1"/>
  <c r="A81" i="1" s="1"/>
  <c r="S82" i="1" l="1"/>
  <c r="A82" i="1" s="1"/>
  <c r="S83" i="1" l="1"/>
  <c r="A83" i="1" s="1"/>
  <c r="S84" i="1" l="1"/>
  <c r="A84" i="1" s="1"/>
  <c r="S85" i="1" l="1"/>
  <c r="A85" i="1" s="1"/>
  <c r="S86" i="1" l="1"/>
  <c r="A86" i="1" s="1"/>
  <c r="S87" i="1" l="1"/>
  <c r="A87" i="1" s="1"/>
  <c r="S88" i="1" l="1"/>
  <c r="A88" i="1" s="1"/>
  <c r="S89" i="1" l="1"/>
  <c r="A89" i="1" s="1"/>
  <c r="S90" i="1" l="1"/>
  <c r="A90" i="1" s="1"/>
  <c r="S91" i="1" l="1"/>
  <c r="A91" i="1" s="1"/>
  <c r="S92" i="1" l="1"/>
  <c r="A92" i="1" s="1"/>
  <c r="S93" i="1" l="1"/>
  <c r="A93" i="1" s="1"/>
  <c r="S94" i="1" l="1"/>
  <c r="A94" i="1" s="1"/>
  <c r="S95" i="1" l="1"/>
  <c r="A95" i="1" s="1"/>
  <c r="S96" i="1" l="1"/>
  <c r="A96" i="1" s="1"/>
  <c r="S97" i="1" l="1"/>
  <c r="A97" i="1" s="1"/>
  <c r="S98" i="1" l="1"/>
  <c r="A98" i="1" s="1"/>
  <c r="S99" i="1" l="1"/>
  <c r="A99" i="1" s="1"/>
  <c r="S100" i="1" l="1"/>
  <c r="A100" i="1" s="1"/>
  <c r="S101" i="1" l="1"/>
  <c r="A101" i="1" s="1"/>
  <c r="S102" i="1" l="1"/>
  <c r="A102" i="1" s="1"/>
  <c r="S103" i="1" l="1"/>
  <c r="A103" i="1" s="1"/>
  <c r="S104" i="1" l="1"/>
  <c r="A104" i="1" s="1"/>
  <c r="S105" i="1" l="1"/>
  <c r="A105" i="1" s="1"/>
  <c r="S106" i="1" l="1"/>
  <c r="A106" i="1" s="1"/>
  <c r="S107" i="1" l="1"/>
  <c r="A107" i="1" s="1"/>
  <c r="S108" i="1" l="1"/>
  <c r="A108" i="1" s="1"/>
  <c r="S109" i="1" l="1"/>
  <c r="A109" i="1" s="1"/>
  <c r="S110" i="1" l="1"/>
  <c r="A110" i="1" s="1"/>
  <c r="S111" i="1" l="1"/>
  <c r="A111" i="1" s="1"/>
  <c r="S112" i="1" l="1"/>
  <c r="A112" i="1" s="1"/>
  <c r="S113" i="1" l="1"/>
  <c r="A113" i="1" s="1"/>
  <c r="S114" i="1" l="1"/>
  <c r="A114" i="1" s="1"/>
  <c r="S115" i="1" l="1"/>
  <c r="A115" i="1" s="1"/>
  <c r="S116" i="1" l="1"/>
  <c r="A116" i="1" s="1"/>
  <c r="S118" i="1" l="1"/>
  <c r="A118" i="1" s="1"/>
  <c r="S119" i="1" l="1"/>
  <c r="A119" i="1" s="1"/>
  <c r="S120" i="1" l="1"/>
  <c r="A120" i="1" s="1"/>
  <c r="S121" i="1" l="1"/>
  <c r="A121" i="1" s="1"/>
  <c r="S122" i="1" l="1"/>
  <c r="A122" i="1" s="1"/>
  <c r="S123" i="1" l="1"/>
  <c r="A123" i="1" s="1"/>
  <c r="S124" i="1" l="1"/>
  <c r="A124" i="1" s="1"/>
  <c r="S125" i="1" l="1"/>
  <c r="A125" i="1" s="1"/>
  <c r="S126" i="1" l="1"/>
  <c r="A126" i="1" s="1"/>
  <c r="S127" i="1" l="1"/>
  <c r="A127" i="1" s="1"/>
  <c r="S128" i="1" l="1"/>
  <c r="A128" i="1" s="1"/>
  <c r="S129" i="1" l="1"/>
  <c r="A129" i="1" s="1"/>
  <c r="S130" i="1" l="1"/>
  <c r="A130" i="1" s="1"/>
  <c r="S131" i="1" l="1"/>
  <c r="A131" i="1" s="1"/>
  <c r="S132" i="1" l="1"/>
  <c r="A132" i="1" s="1"/>
  <c r="S133" i="1" l="1"/>
  <c r="A133" i="1" s="1"/>
  <c r="S134" i="1" l="1"/>
  <c r="A134" i="1" s="1"/>
  <c r="S135" i="1" l="1"/>
  <c r="A135" i="1" s="1"/>
  <c r="S136" i="1" l="1"/>
  <c r="A136" i="1" s="1"/>
  <c r="S137" i="1" l="1"/>
  <c r="A137" i="1" s="1"/>
  <c r="S138" i="1" l="1"/>
  <c r="A138" i="1" s="1"/>
  <c r="S139" i="1" l="1"/>
  <c r="A139" i="1" s="1"/>
  <c r="S140" i="1" l="1"/>
  <c r="A140" i="1" s="1"/>
  <c r="S141" i="1" l="1"/>
  <c r="A141" i="1" s="1"/>
  <c r="S142" i="1" l="1"/>
  <c r="A142" i="1" s="1"/>
  <c r="S143" i="1" l="1"/>
  <c r="A143" i="1" s="1"/>
  <c r="S144" i="1" l="1"/>
  <c r="A144" i="1" s="1"/>
  <c r="S145" i="1" l="1"/>
  <c r="A145" i="1" s="1"/>
  <c r="S146" i="1" l="1"/>
  <c r="A146" i="1" s="1"/>
  <c r="S147" i="1" l="1"/>
  <c r="A147" i="1" s="1"/>
  <c r="S148" i="1" l="1"/>
  <c r="A148" i="1" s="1"/>
  <c r="S149" i="1" l="1"/>
  <c r="A149" i="1" s="1"/>
  <c r="S150" i="1" l="1"/>
  <c r="A150" i="1" s="1"/>
  <c r="S151" i="1" l="1"/>
  <c r="A151" i="1" s="1"/>
  <c r="S152" i="1" l="1"/>
  <c r="A152" i="1" s="1"/>
  <c r="S153" i="1" l="1"/>
  <c r="A153" i="1" s="1"/>
  <c r="S154" i="1" l="1"/>
  <c r="A154" i="1" s="1"/>
  <c r="S155" i="1" l="1"/>
  <c r="A155" i="1" s="1"/>
  <c r="S156" i="1" l="1"/>
  <c r="A156" i="1" s="1"/>
  <c r="S157" i="1" l="1"/>
  <c r="A157" i="1" s="1"/>
  <c r="S158" i="1" l="1"/>
  <c r="A158" i="1" s="1"/>
  <c r="S159" i="1" l="1"/>
  <c r="A159" i="1" s="1"/>
  <c r="S160" i="1" l="1"/>
  <c r="A160" i="1" s="1"/>
  <c r="S161" i="1" l="1"/>
  <c r="A161" i="1" s="1"/>
  <c r="S162" i="1" l="1"/>
  <c r="A162" i="1" s="1"/>
  <c r="S163" i="1" l="1"/>
  <c r="A163" i="1" s="1"/>
  <c r="S164" i="1" l="1"/>
  <c r="A164" i="1" s="1"/>
  <c r="S165" i="1" l="1"/>
  <c r="A165" i="1" s="1"/>
  <c r="S166" i="1" l="1"/>
  <c r="A166" i="1" s="1"/>
  <c r="S167" i="1" l="1"/>
  <c r="A167" i="1" s="1"/>
  <c r="S168" i="1" l="1"/>
  <c r="A168" i="1" s="1"/>
  <c r="S169" i="1" l="1"/>
  <c r="A169" i="1" s="1"/>
  <c r="S170" i="1" l="1"/>
  <c r="A170" i="1" s="1"/>
  <c r="S171" i="1" l="1"/>
  <c r="A171" i="1" s="1"/>
  <c r="S172" i="1" l="1"/>
  <c r="A172" i="1" s="1"/>
  <c r="S173" i="1" l="1"/>
  <c r="A173" i="1" s="1"/>
  <c r="S174" i="1" l="1"/>
  <c r="A174" i="1" s="1"/>
  <c r="S176" i="1" l="1"/>
  <c r="A176" i="1" s="1"/>
  <c r="S177" i="1" l="1"/>
  <c r="A177" i="1" s="1"/>
  <c r="S178" i="1" l="1"/>
  <c r="A178" i="1" s="1"/>
  <c r="S179" i="1" l="1"/>
  <c r="A179" i="1" s="1"/>
  <c r="S180" i="1" l="1"/>
  <c r="A180" i="1" s="1"/>
  <c r="S181" i="1" l="1"/>
  <c r="A181" i="1" s="1"/>
  <c r="S182" i="1" l="1"/>
  <c r="A182" i="1" s="1"/>
  <c r="S183" i="1" l="1"/>
  <c r="A183" i="1" s="1"/>
  <c r="S184" i="1" l="1"/>
  <c r="A184" i="1" s="1"/>
  <c r="S185" i="1" l="1"/>
  <c r="A185" i="1" s="1"/>
  <c r="S186" i="1" l="1"/>
  <c r="A186" i="1" s="1"/>
  <c r="S187" i="1" l="1"/>
  <c r="A187" i="1" s="1"/>
  <c r="S188" i="1" l="1"/>
  <c r="A188" i="1" s="1"/>
  <c r="S189" i="1" l="1"/>
  <c r="A189" i="1" s="1"/>
  <c r="S190" i="1" l="1"/>
  <c r="A190" i="1" s="1"/>
  <c r="S191" i="1" l="1"/>
  <c r="A191" i="1" s="1"/>
  <c r="S192" i="1" l="1"/>
  <c r="A192" i="1" s="1"/>
  <c r="S193" i="1" l="1"/>
  <c r="A193" i="1" s="1"/>
  <c r="S194" i="1" l="1"/>
  <c r="A194" i="1" s="1"/>
  <c r="S195" i="1" l="1"/>
  <c r="A195" i="1" s="1"/>
  <c r="S196" i="1" l="1"/>
  <c r="A196" i="1" s="1"/>
  <c r="S197" i="1" l="1"/>
  <c r="A197" i="1" s="1"/>
  <c r="S198" i="1" l="1"/>
  <c r="A198" i="1" s="1"/>
  <c r="S199" i="1" l="1"/>
  <c r="A199" i="1" s="1"/>
  <c r="S200" i="1" l="1"/>
  <c r="A200" i="1" s="1"/>
  <c r="S201" i="1" l="1"/>
  <c r="A201" i="1" s="1"/>
  <c r="S202" i="1" l="1"/>
  <c r="A202" i="1" s="1"/>
  <c r="S203" i="1" l="1"/>
  <c r="A203" i="1" s="1"/>
  <c r="S204" i="1" l="1"/>
  <c r="A204" i="1" s="1"/>
  <c r="S205" i="1" l="1"/>
  <c r="A205" i="1" s="1"/>
  <c r="S206" i="1" l="1"/>
  <c r="A206" i="1" s="1"/>
  <c r="S207" i="1" l="1"/>
  <c r="A207" i="1" s="1"/>
  <c r="S208" i="1" l="1"/>
  <c r="A208" i="1" s="1"/>
  <c r="S209" i="1" l="1"/>
  <c r="A209" i="1" s="1"/>
  <c r="S210" i="1" l="1"/>
  <c r="A210" i="1" s="1"/>
  <c r="S211" i="1" l="1"/>
  <c r="A211" i="1" s="1"/>
  <c r="S212" i="1" l="1"/>
  <c r="A212" i="1" s="1"/>
  <c r="S213" i="1" l="1"/>
  <c r="A213" i="1" s="1"/>
  <c r="S214" i="1" l="1"/>
  <c r="A214" i="1" s="1"/>
  <c r="S215" i="1" l="1"/>
  <c r="A215" i="1" s="1"/>
  <c r="S216" i="1" l="1"/>
  <c r="A216" i="1" s="1"/>
  <c r="S217" i="1" l="1"/>
  <c r="A217" i="1" s="1"/>
  <c r="S218" i="1" l="1"/>
  <c r="A218" i="1" s="1"/>
  <c r="S219" i="1" l="1"/>
  <c r="A219" i="1" s="1"/>
  <c r="S220" i="1" l="1"/>
  <c r="A220" i="1" s="1"/>
  <c r="S221" i="1" l="1"/>
  <c r="A221" i="1" s="1"/>
  <c r="S222" i="1" l="1"/>
  <c r="A222" i="1" s="1"/>
  <c r="S223" i="1" l="1"/>
  <c r="A223" i="1" s="1"/>
  <c r="S224" i="1" l="1"/>
  <c r="A224" i="1" s="1"/>
  <c r="S225" i="1" l="1"/>
  <c r="A225" i="1" s="1"/>
  <c r="S226" i="1" l="1"/>
  <c r="A226" i="1" s="1"/>
  <c r="S227" i="1" l="1"/>
  <c r="A227" i="1" s="1"/>
  <c r="S228" i="1" l="1"/>
  <c r="A228" i="1" s="1"/>
  <c r="S229" i="1" l="1"/>
  <c r="A229" i="1" s="1"/>
  <c r="S230" i="1" l="1"/>
  <c r="A230" i="1" s="1"/>
  <c r="S231" i="1" l="1"/>
  <c r="A231" i="1" s="1"/>
  <c r="S232" i="1" l="1"/>
  <c r="A232" i="1" s="1"/>
  <c r="S234" i="1" l="1"/>
  <c r="A234" i="1" s="1"/>
  <c r="S235" i="1" l="1"/>
  <c r="A235" i="1" s="1"/>
  <c r="S236" i="1" l="1"/>
  <c r="A236" i="1" s="1"/>
  <c r="S237" i="1" l="1"/>
  <c r="A237" i="1" s="1"/>
  <c r="S238" i="1" l="1"/>
  <c r="A238" i="1" s="1"/>
  <c r="S239" i="1" l="1"/>
  <c r="A239" i="1" s="1"/>
  <c r="S240" i="1" l="1"/>
  <c r="A240" i="1" s="1"/>
  <c r="S241" i="1" l="1"/>
  <c r="A241" i="1" s="1"/>
  <c r="S242" i="1" l="1"/>
  <c r="A242" i="1" s="1"/>
  <c r="S243" i="1" l="1"/>
  <c r="A243" i="1" s="1"/>
  <c r="S244" i="1" l="1"/>
  <c r="A244" i="1" s="1"/>
  <c r="S245" i="1" l="1"/>
  <c r="A245" i="1" s="1"/>
  <c r="S246" i="1" l="1"/>
  <c r="A246" i="1" s="1"/>
  <c r="S247" i="1" l="1"/>
  <c r="A247" i="1" s="1"/>
  <c r="S248" i="1" l="1"/>
  <c r="A248" i="1" s="1"/>
  <c r="S249" i="1" l="1"/>
  <c r="A249" i="1" s="1"/>
  <c r="S250" i="1" l="1"/>
  <c r="A250" i="1" s="1"/>
  <c r="S251" i="1" l="1"/>
  <c r="A251" i="1" s="1"/>
  <c r="S252" i="1" l="1"/>
  <c r="A252" i="1" s="1"/>
  <c r="S253" i="1" l="1"/>
  <c r="A253" i="1" s="1"/>
  <c r="S254" i="1" l="1"/>
  <c r="A254" i="1" s="1"/>
  <c r="S255" i="1" l="1"/>
  <c r="A255" i="1" s="1"/>
  <c r="S256" i="1" l="1"/>
  <c r="A256" i="1" s="1"/>
  <c r="S257" i="1" l="1"/>
  <c r="A257" i="1" s="1"/>
  <c r="S258" i="1" l="1"/>
  <c r="A258" i="1" s="1"/>
  <c r="S259" i="1" l="1"/>
  <c r="A259" i="1" s="1"/>
  <c r="S260" i="1" l="1"/>
  <c r="A260" i="1" s="1"/>
  <c r="S261" i="1" l="1"/>
  <c r="A261" i="1" s="1"/>
  <c r="S262" i="1" l="1"/>
  <c r="A262" i="1" s="1"/>
  <c r="S263" i="1" l="1"/>
  <c r="A263" i="1" s="1"/>
  <c r="S264" i="1" l="1"/>
  <c r="A264" i="1" s="1"/>
  <c r="S265" i="1" l="1"/>
  <c r="A265" i="1" s="1"/>
  <c r="S266" i="1" l="1"/>
  <c r="A266" i="1" s="1"/>
  <c r="S267" i="1" l="1"/>
  <c r="A267" i="1" s="1"/>
  <c r="S268" i="1" l="1"/>
  <c r="A268" i="1" s="1"/>
  <c r="S269" i="1" l="1"/>
  <c r="A269" i="1" s="1"/>
  <c r="S270" i="1" l="1"/>
  <c r="A270" i="1" s="1"/>
  <c r="S271" i="1" l="1"/>
  <c r="A271" i="1" s="1"/>
  <c r="S272" i="1" l="1"/>
  <c r="A272" i="1" s="1"/>
  <c r="S273" i="1" l="1"/>
  <c r="A273" i="1" s="1"/>
  <c r="S274" i="1" l="1"/>
  <c r="A274" i="1" s="1"/>
  <c r="S275" i="1" l="1"/>
  <c r="A275" i="1" s="1"/>
  <c r="S276" i="1" l="1"/>
  <c r="A276" i="1" s="1"/>
  <c r="S277" i="1" l="1"/>
  <c r="A277" i="1" s="1"/>
  <c r="S278" i="1" l="1"/>
  <c r="A278" i="1" s="1"/>
  <c r="S279" i="1" l="1"/>
  <c r="A279" i="1" s="1"/>
  <c r="S280" i="1" l="1"/>
  <c r="A280" i="1" s="1"/>
  <c r="S281" i="1" l="1"/>
  <c r="A281" i="1" s="1"/>
  <c r="S282" i="1" l="1"/>
  <c r="A282" i="1" s="1"/>
  <c r="S283" i="1" l="1"/>
  <c r="A283" i="1" s="1"/>
  <c r="S284" i="1" l="1"/>
  <c r="A284" i="1" s="1"/>
  <c r="S285" i="1" l="1"/>
  <c r="A285" i="1" s="1"/>
  <c r="S286" i="1" l="1"/>
  <c r="A286" i="1" s="1"/>
  <c r="S287" i="1" l="1"/>
  <c r="A287" i="1" s="1"/>
  <c r="S288" i="1" l="1"/>
  <c r="A288" i="1" s="1"/>
  <c r="S289" i="1" l="1"/>
  <c r="A289" i="1" s="1"/>
  <c r="S290" i="1" l="1"/>
  <c r="A290" i="1" s="1"/>
  <c r="S292" i="1" l="1"/>
  <c r="A292" i="1" s="1"/>
  <c r="S293" i="1" l="1"/>
  <c r="A293" i="1" s="1"/>
  <c r="S294" i="1" l="1"/>
  <c r="A294" i="1" s="1"/>
  <c r="S295" i="1" l="1"/>
  <c r="A295" i="1" s="1"/>
  <c r="S296" i="1" l="1"/>
  <c r="A296" i="1" s="1"/>
  <c r="S297" i="1" l="1"/>
  <c r="A297" i="1" s="1"/>
  <c r="S298" i="1" l="1"/>
  <c r="A298" i="1" s="1"/>
  <c r="S299" i="1" l="1"/>
  <c r="A299" i="1" s="1"/>
  <c r="S300" i="1" l="1"/>
  <c r="A300" i="1" s="1"/>
  <c r="S301" i="1" l="1"/>
  <c r="A301" i="1" s="1"/>
  <c r="S302" i="1" l="1"/>
  <c r="A302" i="1" s="1"/>
  <c r="S303" i="1" l="1"/>
  <c r="A303" i="1" s="1"/>
  <c r="S304" i="1" l="1"/>
  <c r="A304" i="1" s="1"/>
  <c r="S305" i="1" l="1"/>
  <c r="A305" i="1" s="1"/>
  <c r="S306" i="1" l="1"/>
  <c r="A306" i="1" s="1"/>
  <c r="S307" i="1" l="1"/>
  <c r="A307" i="1" s="1"/>
  <c r="S308" i="1" l="1"/>
  <c r="A308" i="1" s="1"/>
  <c r="S309" i="1" l="1"/>
  <c r="A309" i="1" s="1"/>
  <c r="S310" i="1" l="1"/>
  <c r="A310" i="1" s="1"/>
  <c r="S311" i="1" l="1"/>
  <c r="A311" i="1" s="1"/>
  <c r="S312" i="1" l="1"/>
  <c r="A312" i="1" s="1"/>
  <c r="S313" i="1" l="1"/>
  <c r="A313" i="1" s="1"/>
  <c r="S314" i="1" l="1"/>
  <c r="A314" i="1" s="1"/>
  <c r="S315" i="1" l="1"/>
  <c r="A315" i="1" s="1"/>
  <c r="S316" i="1" l="1"/>
  <c r="A316" i="1" s="1"/>
  <c r="S317" i="1" l="1"/>
  <c r="A317" i="1" s="1"/>
  <c r="S318" i="1" l="1"/>
  <c r="A318" i="1" s="1"/>
  <c r="S319" i="1" l="1"/>
  <c r="A319" i="1" s="1"/>
  <c r="S320" i="1" l="1"/>
  <c r="A320" i="1" s="1"/>
  <c r="S321" i="1" l="1"/>
  <c r="A321" i="1" s="1"/>
  <c r="S322" i="1" l="1"/>
  <c r="A322" i="1" s="1"/>
  <c r="S323" i="1" l="1"/>
  <c r="A323" i="1" s="1"/>
  <c r="S324" i="1" l="1"/>
  <c r="A324" i="1" s="1"/>
  <c r="S325" i="1" l="1"/>
  <c r="A325" i="1" s="1"/>
  <c r="S326" i="1" l="1"/>
  <c r="A326" i="1" s="1"/>
  <c r="S327" i="1" l="1"/>
  <c r="A327" i="1" s="1"/>
  <c r="S328" i="1" l="1"/>
  <c r="A328" i="1" s="1"/>
  <c r="S329" i="1" l="1"/>
  <c r="A329" i="1" s="1"/>
  <c r="S330" i="1" l="1"/>
  <c r="A330" i="1" s="1"/>
  <c r="S331" i="1" l="1"/>
  <c r="A331" i="1" s="1"/>
  <c r="S332" i="1" l="1"/>
  <c r="A332" i="1" s="1"/>
  <c r="S333" i="1" l="1"/>
  <c r="A333" i="1" s="1"/>
  <c r="S334" i="1" l="1"/>
  <c r="A334" i="1" s="1"/>
  <c r="S335" i="1" l="1"/>
  <c r="A335" i="1" s="1"/>
  <c r="S336" i="1" l="1"/>
  <c r="A336" i="1" s="1"/>
  <c r="S337" i="1" l="1"/>
  <c r="A337" i="1" s="1"/>
  <c r="S338" i="1" l="1"/>
  <c r="A338" i="1" s="1"/>
  <c r="S339" i="1" l="1"/>
  <c r="A339" i="1" s="1"/>
  <c r="S340" i="1" l="1"/>
  <c r="A340" i="1" s="1"/>
  <c r="S341" i="1" l="1"/>
  <c r="A341" i="1" s="1"/>
  <c r="S342" i="1" l="1"/>
  <c r="A342" i="1" s="1"/>
  <c r="S343" i="1" l="1"/>
  <c r="A343" i="1" s="1"/>
  <c r="S344" i="1" l="1"/>
  <c r="A344" i="1" s="1"/>
  <c r="S345" i="1" l="1"/>
  <c r="A345" i="1" s="1"/>
  <c r="S346" i="1" l="1"/>
  <c r="A346" i="1" s="1"/>
  <c r="S347" i="1" l="1"/>
  <c r="A347" i="1" s="1"/>
  <c r="S348" i="1" l="1"/>
  <c r="A348" i="1" s="1"/>
  <c r="S350" i="1" l="1"/>
  <c r="A350" i="1" s="1"/>
  <c r="S351" i="1" l="1"/>
  <c r="A351" i="1" s="1"/>
  <c r="S352" i="1" l="1"/>
  <c r="A352" i="1" s="1"/>
  <c r="S353" i="1" l="1"/>
  <c r="A353" i="1" s="1"/>
  <c r="S354" i="1" l="1"/>
  <c r="A354" i="1" s="1"/>
  <c r="S355" i="1" l="1"/>
  <c r="A355" i="1" s="1"/>
  <c r="S356" i="1" l="1"/>
  <c r="A356" i="1" s="1"/>
  <c r="S357" i="1" l="1"/>
  <c r="A357" i="1" s="1"/>
  <c r="S358" i="1" l="1"/>
  <c r="A358" i="1" s="1"/>
  <c r="S359" i="1" l="1"/>
  <c r="A359" i="1" s="1"/>
  <c r="S360" i="1" l="1"/>
  <c r="A360" i="1" s="1"/>
  <c r="S361" i="1" l="1"/>
  <c r="A361" i="1" s="1"/>
  <c r="S362" i="1" l="1"/>
  <c r="A362" i="1" s="1"/>
  <c r="S363" i="1" l="1"/>
  <c r="A363" i="1" s="1"/>
  <c r="S364" i="1" l="1"/>
  <c r="A364" i="1" s="1"/>
  <c r="S365" i="1" l="1"/>
  <c r="A365" i="1" s="1"/>
  <c r="S366" i="1" l="1"/>
  <c r="A366" i="1" s="1"/>
  <c r="S367" i="1" l="1"/>
  <c r="A367" i="1" s="1"/>
  <c r="S368" i="1" l="1"/>
  <c r="A368" i="1" s="1"/>
  <c r="S369" i="1" l="1"/>
  <c r="A369" i="1" s="1"/>
  <c r="S370" i="1" l="1"/>
  <c r="A370" i="1" s="1"/>
  <c r="S371" i="1" l="1"/>
  <c r="A371" i="1" s="1"/>
  <c r="S372" i="1" l="1"/>
  <c r="A372" i="1" s="1"/>
  <c r="S373" i="1" l="1"/>
  <c r="A373" i="1" s="1"/>
  <c r="S374" i="1" l="1"/>
  <c r="A374" i="1" s="1"/>
  <c r="S375" i="1" l="1"/>
  <c r="A375" i="1" s="1"/>
  <c r="S376" i="1" l="1"/>
  <c r="A376" i="1" s="1"/>
  <c r="S377" i="1" l="1"/>
  <c r="A377" i="1" s="1"/>
  <c r="S378" i="1" l="1"/>
  <c r="A378" i="1" s="1"/>
  <c r="S379" i="1" l="1"/>
  <c r="A379" i="1" s="1"/>
  <c r="S380" i="1" l="1"/>
  <c r="A380" i="1" s="1"/>
  <c r="S381" i="1" l="1"/>
  <c r="A381" i="1" s="1"/>
  <c r="S382" i="1" l="1"/>
  <c r="A382" i="1" s="1"/>
  <c r="S383" i="1" l="1"/>
  <c r="A383" i="1" s="1"/>
  <c r="S384" i="1" l="1"/>
  <c r="A384" i="1" s="1"/>
  <c r="S385" i="1" l="1"/>
  <c r="A385" i="1" s="1"/>
  <c r="S386" i="1" l="1"/>
  <c r="A386" i="1" s="1"/>
  <c r="S387" i="1" l="1"/>
  <c r="A387" i="1" s="1"/>
  <c r="S388" i="1" l="1"/>
  <c r="A388" i="1" s="1"/>
  <c r="S389" i="1" l="1"/>
  <c r="A389" i="1" s="1"/>
  <c r="S390" i="1" l="1"/>
  <c r="A390" i="1" s="1"/>
  <c r="S391" i="1" l="1"/>
  <c r="A391" i="1" s="1"/>
  <c r="S392" i="1" l="1"/>
  <c r="A392" i="1" s="1"/>
  <c r="S393" i="1" l="1"/>
  <c r="A393" i="1" s="1"/>
  <c r="S394" i="1" l="1"/>
  <c r="A394" i="1" s="1"/>
  <c r="S395" i="1" l="1"/>
  <c r="A395" i="1" s="1"/>
  <c r="S396" i="1" l="1"/>
  <c r="A396" i="1" s="1"/>
  <c r="S397" i="1" l="1"/>
  <c r="A397" i="1" s="1"/>
  <c r="S398" i="1" l="1"/>
  <c r="A398" i="1" s="1"/>
  <c r="S399" i="1" l="1"/>
  <c r="A399" i="1" s="1"/>
  <c r="S400" i="1" l="1"/>
  <c r="A400" i="1" s="1"/>
  <c r="S401" i="1" l="1"/>
  <c r="A401" i="1" s="1"/>
  <c r="S402" i="1" l="1"/>
  <c r="A402" i="1" s="1"/>
  <c r="S403" i="1" l="1"/>
  <c r="A403" i="1" s="1"/>
  <c r="S404" i="1" l="1"/>
  <c r="A404" i="1" s="1"/>
  <c r="S405" i="1" l="1"/>
  <c r="A405" i="1" s="1"/>
  <c r="S406" i="1" l="1"/>
  <c r="A406" i="1" s="1"/>
  <c r="S408" i="1" l="1"/>
  <c r="A408" i="1" s="1"/>
  <c r="S409" i="1" l="1"/>
  <c r="A409" i="1" s="1"/>
  <c r="S410" i="1" l="1"/>
  <c r="A410" i="1" s="1"/>
  <c r="S411" i="1" l="1"/>
  <c r="A411" i="1" s="1"/>
  <c r="S412" i="1" l="1"/>
  <c r="A412" i="1" s="1"/>
  <c r="S413" i="1" l="1"/>
  <c r="A413" i="1" s="1"/>
  <c r="S414" i="1" l="1"/>
  <c r="A414" i="1" s="1"/>
  <c r="S415" i="1" l="1"/>
  <c r="A415" i="1" s="1"/>
  <c r="S416" i="1" l="1"/>
  <c r="A416" i="1" s="1"/>
  <c r="S417" i="1" l="1"/>
  <c r="A417" i="1" s="1"/>
  <c r="S418" i="1" l="1"/>
  <c r="A418" i="1" s="1"/>
  <c r="S419" i="1" l="1"/>
  <c r="A419" i="1" s="1"/>
  <c r="S420" i="1" l="1"/>
  <c r="A420" i="1" s="1"/>
  <c r="S421" i="1" l="1"/>
  <c r="A421" i="1" s="1"/>
  <c r="S422" i="1" l="1"/>
  <c r="A422" i="1" s="1"/>
  <c r="S423" i="1" l="1"/>
  <c r="A423" i="1" s="1"/>
  <c r="S424" i="1" l="1"/>
  <c r="A424" i="1" s="1"/>
  <c r="S425" i="1" l="1"/>
  <c r="A425" i="1" s="1"/>
  <c r="S426" i="1" l="1"/>
  <c r="A426" i="1" s="1"/>
  <c r="S427" i="1" l="1"/>
  <c r="A427" i="1" s="1"/>
  <c r="S428" i="1" l="1"/>
  <c r="A428" i="1" s="1"/>
  <c r="S429" i="1" l="1"/>
  <c r="A429" i="1" s="1"/>
  <c r="S430" i="1" l="1"/>
  <c r="A430" i="1" s="1"/>
  <c r="S431" i="1" l="1"/>
  <c r="A431" i="1" s="1"/>
  <c r="S432" i="1" l="1"/>
  <c r="A432" i="1" s="1"/>
  <c r="S433" i="1" l="1"/>
  <c r="A433" i="1" s="1"/>
  <c r="S434" i="1" l="1"/>
  <c r="A434" i="1" s="1"/>
  <c r="S435" i="1" l="1"/>
  <c r="A435" i="1" s="1"/>
  <c r="S436" i="1" l="1"/>
  <c r="A436" i="1" s="1"/>
  <c r="S437" i="1" l="1"/>
  <c r="A437" i="1" s="1"/>
  <c r="S438" i="1" l="1"/>
  <c r="A438" i="1" s="1"/>
  <c r="S439" i="1" l="1"/>
  <c r="A439" i="1" s="1"/>
  <c r="S440" i="1" l="1"/>
  <c r="A440" i="1" s="1"/>
  <c r="S441" i="1" l="1"/>
  <c r="A441" i="1" s="1"/>
  <c r="S442" i="1" l="1"/>
  <c r="A442" i="1" s="1"/>
  <c r="S443" i="1" l="1"/>
  <c r="A443" i="1" s="1"/>
  <c r="S444" i="1" l="1"/>
  <c r="A444" i="1" s="1"/>
  <c r="S445" i="1" l="1"/>
  <c r="A445" i="1" s="1"/>
  <c r="S446" i="1" l="1"/>
  <c r="A446" i="1" s="1"/>
  <c r="S447" i="1" l="1"/>
  <c r="A447" i="1" s="1"/>
  <c r="S448" i="1" l="1"/>
  <c r="A448" i="1" s="1"/>
  <c r="S449" i="1" l="1"/>
  <c r="A449" i="1" s="1"/>
  <c r="S450" i="1" l="1"/>
  <c r="A450" i="1" s="1"/>
  <c r="S451" i="1" l="1"/>
  <c r="A451" i="1" s="1"/>
  <c r="S452" i="1" l="1"/>
  <c r="A452" i="1" s="1"/>
  <c r="S453" i="1" l="1"/>
  <c r="A453" i="1" s="1"/>
  <c r="S454" i="1" l="1"/>
  <c r="A454" i="1" s="1"/>
  <c r="S455" i="1" l="1"/>
  <c r="A455" i="1" s="1"/>
  <c r="S456" i="1" l="1"/>
  <c r="A456" i="1" s="1"/>
  <c r="S457" i="1" l="1"/>
  <c r="A457" i="1" s="1"/>
  <c r="S458" i="1" l="1"/>
  <c r="A458" i="1" s="1"/>
  <c r="S459" i="1" l="1"/>
  <c r="A459" i="1" s="1"/>
  <c r="S460" i="1" l="1"/>
  <c r="A460" i="1" s="1"/>
  <c r="S461" i="1" l="1"/>
  <c r="A461" i="1" s="1"/>
  <c r="S462" i="1" l="1"/>
  <c r="A462" i="1" s="1"/>
  <c r="S463" i="1" l="1"/>
  <c r="A463" i="1" s="1"/>
  <c r="S464" i="1" l="1"/>
  <c r="A464" i="1" s="1"/>
  <c r="S466" i="1" l="1"/>
  <c r="A466" i="1" s="1"/>
  <c r="S467" i="1" l="1"/>
  <c r="A467" i="1" s="1"/>
  <c r="S468" i="1" l="1"/>
  <c r="A468" i="1" s="1"/>
  <c r="S469" i="1" l="1"/>
  <c r="A469" i="1" s="1"/>
  <c r="S470" i="1" l="1"/>
  <c r="A470" i="1" s="1"/>
  <c r="S471" i="1" l="1"/>
  <c r="A471" i="1" s="1"/>
  <c r="S472" i="1" l="1"/>
  <c r="A472" i="1" s="1"/>
  <c r="S473" i="1" l="1"/>
  <c r="A473" i="1" s="1"/>
  <c r="S474" i="1" l="1"/>
  <c r="A474" i="1" s="1"/>
  <c r="S475" i="1" l="1"/>
  <c r="A475" i="1" s="1"/>
  <c r="S476" i="1" l="1"/>
  <c r="A476" i="1" s="1"/>
  <c r="S477" i="1" l="1"/>
  <c r="A477" i="1" s="1"/>
  <c r="S478" i="1" l="1"/>
  <c r="A478" i="1" s="1"/>
  <c r="S479" i="1" l="1"/>
  <c r="A479" i="1" s="1"/>
  <c r="S480" i="1" l="1"/>
  <c r="A480" i="1" s="1"/>
  <c r="S481" i="1" l="1"/>
  <c r="A481" i="1" s="1"/>
  <c r="S482" i="1" l="1"/>
  <c r="A482" i="1" s="1"/>
  <c r="S483" i="1" l="1"/>
  <c r="A483" i="1" s="1"/>
  <c r="S484" i="1" l="1"/>
  <c r="A484" i="1" s="1"/>
  <c r="S485" i="1" l="1"/>
  <c r="A485" i="1" s="1"/>
  <c r="S486" i="1" l="1"/>
  <c r="A486" i="1" s="1"/>
  <c r="S487" i="1" l="1"/>
  <c r="A487" i="1" s="1"/>
  <c r="S488" i="1" l="1"/>
  <c r="A488" i="1" s="1"/>
  <c r="S489" i="1" l="1"/>
  <c r="A489" i="1" s="1"/>
  <c r="S490" i="1" l="1"/>
  <c r="A490" i="1" s="1"/>
  <c r="S491" i="1" l="1"/>
  <c r="A491" i="1" s="1"/>
  <c r="S492" i="1" l="1"/>
  <c r="A492" i="1" s="1"/>
  <c r="S493" i="1" l="1"/>
  <c r="A493" i="1" s="1"/>
  <c r="S494" i="1" l="1"/>
  <c r="A494" i="1" s="1"/>
  <c r="S495" i="1" l="1"/>
  <c r="A495" i="1" s="1"/>
  <c r="S496" i="1" l="1"/>
  <c r="A496" i="1" s="1"/>
  <c r="S497" i="1" l="1"/>
  <c r="A497" i="1" s="1"/>
  <c r="S498" i="1" l="1"/>
  <c r="A498" i="1" s="1"/>
  <c r="S499" i="1" l="1"/>
  <c r="A499" i="1" s="1"/>
  <c r="S500" i="1" l="1"/>
  <c r="A500" i="1" s="1"/>
  <c r="S501" i="1" l="1"/>
  <c r="A501" i="1" s="1"/>
  <c r="S502" i="1" l="1"/>
  <c r="A502" i="1" s="1"/>
  <c r="S503" i="1" l="1"/>
  <c r="A503" i="1" s="1"/>
  <c r="S504" i="1" l="1"/>
  <c r="A504" i="1" s="1"/>
  <c r="S505" i="1" l="1"/>
  <c r="A505" i="1" s="1"/>
  <c r="S506" i="1" l="1"/>
  <c r="A506" i="1" s="1"/>
  <c r="S507" i="1" l="1"/>
  <c r="A507" i="1" s="1"/>
  <c r="S508" i="1" l="1"/>
  <c r="A508" i="1" s="1"/>
  <c r="S509" i="1" l="1"/>
  <c r="A509" i="1" s="1"/>
  <c r="S510" i="1" l="1"/>
  <c r="A510" i="1" s="1"/>
  <c r="S511" i="1" l="1"/>
  <c r="A511" i="1" s="1"/>
  <c r="S512" i="1" l="1"/>
  <c r="A512" i="1" s="1"/>
  <c r="S513" i="1" l="1"/>
  <c r="A513" i="1" s="1"/>
  <c r="S514" i="1" l="1"/>
  <c r="A514" i="1" s="1"/>
  <c r="S515" i="1" l="1"/>
  <c r="A515" i="1" s="1"/>
  <c r="S516" i="1" l="1"/>
  <c r="A516" i="1" s="1"/>
  <c r="S517" i="1" l="1"/>
  <c r="A517" i="1" s="1"/>
  <c r="S518" i="1" l="1"/>
  <c r="A518" i="1" s="1"/>
  <c r="S519" i="1" l="1"/>
  <c r="A519" i="1" s="1"/>
  <c r="S520" i="1" l="1"/>
  <c r="A520" i="1" s="1"/>
  <c r="S521" i="1" l="1"/>
  <c r="A521" i="1" s="1"/>
  <c r="S522" i="1" l="1"/>
  <c r="A522" i="1" s="1"/>
  <c r="S524" i="1" l="1"/>
  <c r="A524" i="1" s="1"/>
  <c r="S525" i="1" l="1"/>
  <c r="A525" i="1" s="1"/>
  <c r="S526" i="1" l="1"/>
  <c r="A526" i="1" s="1"/>
  <c r="S527" i="1" l="1"/>
  <c r="A527" i="1" s="1"/>
  <c r="S528" i="1" l="1"/>
  <c r="A528" i="1" s="1"/>
  <c r="S529" i="1" l="1"/>
  <c r="A529" i="1" s="1"/>
  <c r="S530" i="1" l="1"/>
  <c r="A530" i="1" s="1"/>
  <c r="S531" i="1" l="1"/>
  <c r="A531" i="1" s="1"/>
  <c r="S532" i="1" l="1"/>
  <c r="A532" i="1" s="1"/>
  <c r="S533" i="1" l="1"/>
  <c r="A533" i="1" s="1"/>
  <c r="S534" i="1" l="1"/>
  <c r="A534" i="1" s="1"/>
  <c r="S535" i="1" l="1"/>
  <c r="A535" i="1" s="1"/>
  <c r="S536" i="1" l="1"/>
  <c r="A536" i="1" s="1"/>
  <c r="S537" i="1" l="1"/>
  <c r="A537" i="1" s="1"/>
  <c r="S538" i="1" l="1"/>
  <c r="A538" i="1" s="1"/>
  <c r="S539" i="1" l="1"/>
  <c r="A539" i="1" s="1"/>
  <c r="S540" i="1" l="1"/>
  <c r="A540" i="1" s="1"/>
  <c r="S541" i="1" l="1"/>
  <c r="A541" i="1" s="1"/>
  <c r="S542" i="1" l="1"/>
  <c r="A542" i="1" s="1"/>
  <c r="S543" i="1" l="1"/>
  <c r="A543" i="1" s="1"/>
  <c r="S544" i="1" l="1"/>
  <c r="A544" i="1" s="1"/>
  <c r="S545" i="1" l="1"/>
  <c r="A545" i="1" s="1"/>
  <c r="S546" i="1" l="1"/>
  <c r="A546" i="1" s="1"/>
  <c r="S547" i="1" l="1"/>
  <c r="A547" i="1" s="1"/>
  <c r="S548" i="1" l="1"/>
  <c r="A548" i="1" s="1"/>
  <c r="S549" i="1" l="1"/>
  <c r="A549" i="1" s="1"/>
  <c r="S550" i="1" l="1"/>
  <c r="A550" i="1" s="1"/>
  <c r="S551" i="1" l="1"/>
  <c r="A551" i="1" s="1"/>
  <c r="S552" i="1" l="1"/>
  <c r="A552" i="1" s="1"/>
  <c r="S553" i="1" l="1"/>
  <c r="A553" i="1" s="1"/>
  <c r="S554" i="1" l="1"/>
  <c r="A554" i="1" s="1"/>
  <c r="S555" i="1" l="1"/>
  <c r="A555" i="1" s="1"/>
  <c r="S556" i="1" l="1"/>
  <c r="A556" i="1" s="1"/>
  <c r="S557" i="1" l="1"/>
  <c r="A557" i="1" s="1"/>
  <c r="S558" i="1" l="1"/>
  <c r="A558" i="1" s="1"/>
  <c r="S559" i="1" l="1"/>
  <c r="A559" i="1" s="1"/>
  <c r="S560" i="1" l="1"/>
  <c r="A560" i="1" s="1"/>
  <c r="S561" i="1" l="1"/>
  <c r="A561" i="1" s="1"/>
  <c r="S562" i="1" l="1"/>
  <c r="A562" i="1" s="1"/>
  <c r="S563" i="1" l="1"/>
  <c r="A563" i="1" s="1"/>
  <c r="S564" i="1" l="1"/>
  <c r="A564" i="1" s="1"/>
  <c r="S565" i="1" l="1"/>
  <c r="A565" i="1" s="1"/>
  <c r="S566" i="1" l="1"/>
  <c r="A566" i="1" s="1"/>
  <c r="S567" i="1" l="1"/>
  <c r="A567" i="1" s="1"/>
  <c r="S568" i="1" l="1"/>
  <c r="A568" i="1" s="1"/>
  <c r="S569" i="1" l="1"/>
  <c r="A569" i="1" s="1"/>
  <c r="S570" i="1" l="1"/>
  <c r="A570" i="1" s="1"/>
  <c r="S571" i="1" l="1"/>
  <c r="A571" i="1" s="1"/>
  <c r="S572" i="1" l="1"/>
  <c r="A572" i="1" s="1"/>
  <c r="S573" i="1" l="1"/>
  <c r="A573" i="1" s="1"/>
  <c r="S574" i="1" l="1"/>
  <c r="A574" i="1" s="1"/>
  <c r="S575" i="1" l="1"/>
  <c r="A575" i="1" s="1"/>
  <c r="S576" i="1" l="1"/>
  <c r="A576" i="1" s="1"/>
  <c r="S577" i="1" l="1"/>
  <c r="A577" i="1" s="1"/>
  <c r="S578" i="1" l="1"/>
  <c r="A578" i="1" s="1"/>
  <c r="S579" i="1" l="1"/>
  <c r="A579" i="1" s="1"/>
  <c r="S580" i="1" l="1"/>
  <c r="A580" i="1" s="1"/>
  <c r="S582" i="1" l="1"/>
  <c r="A582" i="1" s="1"/>
  <c r="S583" i="1" l="1"/>
  <c r="A583" i="1" s="1"/>
  <c r="S584" i="1" l="1"/>
  <c r="A584" i="1" s="1"/>
  <c r="S585" i="1" l="1"/>
  <c r="A585" i="1" s="1"/>
  <c r="S586" i="1" l="1"/>
  <c r="A586" i="1" s="1"/>
  <c r="S587" i="1" l="1"/>
  <c r="A587" i="1" s="1"/>
  <c r="S588" i="1" l="1"/>
  <c r="A588" i="1" s="1"/>
  <c r="S589" i="1" l="1"/>
  <c r="A589" i="1" s="1"/>
  <c r="S590" i="1" l="1"/>
  <c r="A590" i="1" s="1"/>
  <c r="S591" i="1" l="1"/>
  <c r="A591" i="1" s="1"/>
  <c r="S592" i="1" l="1"/>
  <c r="A592" i="1" s="1"/>
  <c r="S593" i="1" l="1"/>
  <c r="A593" i="1" s="1"/>
  <c r="S594" i="1" l="1"/>
  <c r="A594" i="1" s="1"/>
  <c r="S595" i="1" l="1"/>
  <c r="A595" i="1" s="1"/>
  <c r="S596" i="1" l="1"/>
  <c r="A596" i="1" s="1"/>
  <c r="S597" i="1" l="1"/>
  <c r="A597" i="1" s="1"/>
  <c r="S598" i="1" l="1"/>
  <c r="A598" i="1" s="1"/>
  <c r="S599" i="1" l="1"/>
  <c r="A599" i="1" s="1"/>
  <c r="S600" i="1" l="1"/>
  <c r="A600" i="1" s="1"/>
  <c r="S601" i="1" l="1"/>
  <c r="A601" i="1" s="1"/>
  <c r="S602" i="1" l="1"/>
  <c r="A602" i="1" s="1"/>
  <c r="S603" i="1" l="1"/>
  <c r="A603" i="1" s="1"/>
  <c r="S604" i="1" l="1"/>
  <c r="A604" i="1" s="1"/>
  <c r="S605" i="1" l="1"/>
  <c r="A605" i="1" s="1"/>
  <c r="S606" i="1" l="1"/>
  <c r="A606" i="1" s="1"/>
  <c r="S607" i="1" l="1"/>
  <c r="A607" i="1" s="1"/>
  <c r="S608" i="1" l="1"/>
  <c r="A608" i="1" s="1"/>
  <c r="S609" i="1" l="1"/>
  <c r="A609" i="1" s="1"/>
  <c r="S610" i="1" l="1"/>
  <c r="A610" i="1" s="1"/>
  <c r="S611" i="1" l="1"/>
  <c r="A611" i="1" s="1"/>
  <c r="S612" i="1" l="1"/>
  <c r="A612" i="1" s="1"/>
  <c r="S613" i="1" l="1"/>
  <c r="A613" i="1" s="1"/>
  <c r="S614" i="1" l="1"/>
  <c r="A614" i="1" s="1"/>
  <c r="S615" i="1" l="1"/>
  <c r="A615" i="1" s="1"/>
  <c r="S616" i="1" l="1"/>
  <c r="A616" i="1" s="1"/>
  <c r="S617" i="1" l="1"/>
  <c r="A617" i="1" s="1"/>
  <c r="S618" i="1" l="1"/>
  <c r="A618" i="1" s="1"/>
  <c r="S619" i="1" l="1"/>
  <c r="A619" i="1" s="1"/>
  <c r="S620" i="1" l="1"/>
  <c r="A620" i="1" s="1"/>
  <c r="S621" i="1" l="1"/>
  <c r="A621" i="1" s="1"/>
  <c r="S622" i="1" l="1"/>
  <c r="A622" i="1" s="1"/>
  <c r="S623" i="1" l="1"/>
  <c r="A623" i="1" s="1"/>
  <c r="S624" i="1" l="1"/>
  <c r="A624" i="1" s="1"/>
  <c r="S625" i="1" l="1"/>
  <c r="A625" i="1" s="1"/>
  <c r="S626" i="1" l="1"/>
  <c r="A626" i="1" s="1"/>
  <c r="S627" i="1" l="1"/>
  <c r="A627" i="1" s="1"/>
  <c r="S628" i="1" l="1"/>
  <c r="A628" i="1" s="1"/>
  <c r="S629" i="1" l="1"/>
  <c r="A629" i="1" s="1"/>
  <c r="S630" i="1" l="1"/>
  <c r="A630" i="1" s="1"/>
  <c r="S631" i="1" l="1"/>
  <c r="A631" i="1" s="1"/>
  <c r="S632" i="1" l="1"/>
  <c r="A632" i="1" s="1"/>
  <c r="S633" i="1" l="1"/>
  <c r="A633" i="1" s="1"/>
  <c r="S634" i="1" l="1"/>
  <c r="A634" i="1" s="1"/>
  <c r="S635" i="1" l="1"/>
  <c r="A635" i="1" s="1"/>
  <c r="S636" i="1" l="1"/>
  <c r="A636" i="1" s="1"/>
  <c r="S637" i="1" l="1"/>
  <c r="A637" i="1" s="1"/>
  <c r="S638" i="1" l="1"/>
  <c r="A638" i="1" s="1"/>
  <c r="S640" i="1" l="1"/>
  <c r="A640" i="1" s="1"/>
  <c r="S641" i="1" l="1"/>
  <c r="A641" i="1" s="1"/>
  <c r="S642" i="1" l="1"/>
  <c r="A642" i="1" s="1"/>
  <c r="S643" i="1" l="1"/>
  <c r="A643" i="1" s="1"/>
  <c r="S644" i="1" l="1"/>
  <c r="A644" i="1" s="1"/>
  <c r="S645" i="1" l="1"/>
  <c r="A645" i="1" s="1"/>
  <c r="S646" i="1" l="1"/>
  <c r="A646" i="1" s="1"/>
  <c r="S647" i="1" l="1"/>
  <c r="A647" i="1" s="1"/>
  <c r="S648" i="1" l="1"/>
  <c r="A648" i="1" s="1"/>
  <c r="S649" i="1" l="1"/>
  <c r="A649" i="1" s="1"/>
  <c r="S650" i="1" l="1"/>
  <c r="A650" i="1" s="1"/>
  <c r="S651" i="1" l="1"/>
  <c r="A651" i="1" s="1"/>
  <c r="S652" i="1" l="1"/>
  <c r="A652" i="1" s="1"/>
  <c r="S653" i="1" l="1"/>
  <c r="A653" i="1" s="1"/>
  <c r="S654" i="1" l="1"/>
  <c r="A654" i="1" s="1"/>
  <c r="S655" i="1" l="1"/>
  <c r="A655" i="1" s="1"/>
  <c r="S656" i="1" l="1"/>
  <c r="A656" i="1" s="1"/>
  <c r="S657" i="1" l="1"/>
  <c r="A657" i="1" s="1"/>
  <c r="S658" i="1" l="1"/>
  <c r="A658" i="1" s="1"/>
  <c r="S659" i="1" l="1"/>
  <c r="A659" i="1" s="1"/>
  <c r="S660" i="1" l="1"/>
  <c r="A660" i="1" s="1"/>
  <c r="S661" i="1" l="1"/>
  <c r="A661" i="1" s="1"/>
  <c r="S662" i="1" l="1"/>
  <c r="A662" i="1" s="1"/>
  <c r="S663" i="1" l="1"/>
  <c r="A663" i="1" s="1"/>
  <c r="S664" i="1" l="1"/>
  <c r="A664" i="1" s="1"/>
  <c r="S665" i="1" l="1"/>
  <c r="A665" i="1" s="1"/>
  <c r="S666" i="1" l="1"/>
  <c r="A666" i="1" s="1"/>
  <c r="S667" i="1" l="1"/>
  <c r="A667" i="1" s="1"/>
  <c r="S668" i="1" l="1"/>
  <c r="A668" i="1" s="1"/>
  <c r="S669" i="1" l="1"/>
  <c r="A669" i="1" s="1"/>
  <c r="S670" i="1" l="1"/>
  <c r="A670" i="1" s="1"/>
  <c r="S671" i="1" l="1"/>
  <c r="A671" i="1" s="1"/>
  <c r="S672" i="1" l="1"/>
  <c r="A672" i="1" s="1"/>
  <c r="S673" i="1" l="1"/>
  <c r="A673" i="1" s="1"/>
  <c r="S674" i="1" l="1"/>
  <c r="A674" i="1" s="1"/>
  <c r="S675" i="1" l="1"/>
  <c r="A675" i="1" s="1"/>
  <c r="S676" i="1" l="1"/>
  <c r="A676" i="1" s="1"/>
  <c r="S677" i="1" l="1"/>
  <c r="A677" i="1" s="1"/>
  <c r="S678" i="1" l="1"/>
  <c r="A678" i="1" s="1"/>
  <c r="S679" i="1" l="1"/>
  <c r="A679" i="1" s="1"/>
  <c r="S680" i="1" l="1"/>
  <c r="A680" i="1" s="1"/>
  <c r="S681" i="1" l="1"/>
  <c r="A681" i="1" s="1"/>
  <c r="S682" i="1" l="1"/>
  <c r="A682" i="1" s="1"/>
  <c r="S683" i="1" l="1"/>
  <c r="A683" i="1" s="1"/>
  <c r="S684" i="1" l="1"/>
  <c r="A684" i="1" s="1"/>
  <c r="S685" i="1" l="1"/>
  <c r="A685" i="1" s="1"/>
  <c r="S686" i="1" l="1"/>
  <c r="A686" i="1" s="1"/>
  <c r="S687" i="1" l="1"/>
  <c r="A687" i="1" s="1"/>
  <c r="S688" i="1" l="1"/>
  <c r="A688" i="1" s="1"/>
  <c r="S689" i="1" l="1"/>
  <c r="A689" i="1" s="1"/>
  <c r="S690" i="1" l="1"/>
  <c r="A690" i="1" s="1"/>
  <c r="S691" i="1" l="1"/>
  <c r="A691" i="1" s="1"/>
  <c r="S692" i="1" l="1"/>
  <c r="A692" i="1" s="1"/>
  <c r="S693" i="1" l="1"/>
  <c r="A693" i="1" s="1"/>
  <c r="S694" i="1" l="1"/>
  <c r="A694" i="1" s="1"/>
  <c r="S695" i="1" l="1"/>
  <c r="A695" i="1" s="1"/>
  <c r="S696" i="1" l="1"/>
  <c r="A696" i="1" s="1"/>
  <c r="S698" i="1" l="1"/>
  <c r="A698" i="1" s="1"/>
  <c r="S699" i="1" l="1"/>
  <c r="A699" i="1" s="1"/>
  <c r="S700" i="1" l="1"/>
  <c r="A700" i="1" s="1"/>
  <c r="S701" i="1" l="1"/>
  <c r="A701" i="1" s="1"/>
  <c r="S702" i="1" l="1"/>
  <c r="A702" i="1" s="1"/>
  <c r="S703" i="1" l="1"/>
  <c r="A703" i="1" s="1"/>
  <c r="S704" i="1" l="1"/>
  <c r="A704" i="1" s="1"/>
  <c r="S705" i="1" l="1"/>
  <c r="A705" i="1" s="1"/>
  <c r="S706" i="1" l="1"/>
  <c r="A706" i="1" s="1"/>
  <c r="S707" i="1" l="1"/>
  <c r="A707" i="1" s="1"/>
  <c r="S708" i="1" l="1"/>
  <c r="A708" i="1" s="1"/>
  <c r="S709" i="1" l="1"/>
  <c r="A709" i="1" s="1"/>
  <c r="S710" i="1" l="1"/>
  <c r="A710" i="1" s="1"/>
  <c r="S711" i="1" l="1"/>
  <c r="A711" i="1" s="1"/>
  <c r="S712" i="1" l="1"/>
  <c r="A712" i="1" s="1"/>
  <c r="S713" i="1" l="1"/>
  <c r="A713" i="1" s="1"/>
  <c r="S714" i="1" l="1"/>
  <c r="A714" i="1" s="1"/>
  <c r="S715" i="1" l="1"/>
  <c r="A715" i="1" s="1"/>
  <c r="S716" i="1" l="1"/>
  <c r="A716" i="1" s="1"/>
  <c r="S717" i="1" l="1"/>
  <c r="A717" i="1" s="1"/>
  <c r="S718" i="1" l="1"/>
  <c r="A718" i="1" s="1"/>
  <c r="S719" i="1" l="1"/>
  <c r="A719" i="1" s="1"/>
  <c r="S720" i="1" l="1"/>
  <c r="A720" i="1" s="1"/>
  <c r="S721" i="1" l="1"/>
  <c r="A721" i="1" s="1"/>
  <c r="S722" i="1" l="1"/>
  <c r="A722" i="1" s="1"/>
  <c r="S723" i="1" l="1"/>
  <c r="A723" i="1" s="1"/>
  <c r="S724" i="1" l="1"/>
  <c r="A724" i="1" s="1"/>
  <c r="S725" i="1" l="1"/>
  <c r="A725" i="1" s="1"/>
  <c r="S726" i="1" l="1"/>
  <c r="A726" i="1" s="1"/>
  <c r="S727" i="1" l="1"/>
  <c r="A727" i="1" s="1"/>
  <c r="S728" i="1" l="1"/>
  <c r="A728" i="1" s="1"/>
  <c r="S729" i="1" l="1"/>
  <c r="A729" i="1" s="1"/>
  <c r="S730" i="1" l="1"/>
  <c r="A730" i="1" s="1"/>
  <c r="S731" i="1" l="1"/>
  <c r="A731" i="1" s="1"/>
  <c r="S732" i="1" l="1"/>
  <c r="A732" i="1" s="1"/>
  <c r="S733" i="1" l="1"/>
  <c r="A733" i="1" s="1"/>
  <c r="S734" i="1" l="1"/>
  <c r="A734" i="1" s="1"/>
  <c r="S735" i="1" l="1"/>
  <c r="A735" i="1" s="1"/>
  <c r="S736" i="1" l="1"/>
  <c r="A736" i="1" s="1"/>
  <c r="S737" i="1" l="1"/>
  <c r="A737" i="1" s="1"/>
  <c r="S738" i="1" l="1"/>
  <c r="A738" i="1" s="1"/>
  <c r="S739" i="1" l="1"/>
  <c r="A739" i="1" s="1"/>
  <c r="S740" i="1" l="1"/>
  <c r="A740" i="1" s="1"/>
  <c r="S741" i="1" l="1"/>
  <c r="A741" i="1" s="1"/>
  <c r="S742" i="1" l="1"/>
  <c r="A742" i="1" s="1"/>
  <c r="S743" i="1" l="1"/>
  <c r="A743" i="1" s="1"/>
  <c r="S744" i="1" l="1"/>
  <c r="A744" i="1" s="1"/>
  <c r="S745" i="1" l="1"/>
  <c r="A745" i="1" s="1"/>
  <c r="S746" i="1" l="1"/>
  <c r="A746" i="1" s="1"/>
  <c r="S747" i="1" l="1"/>
  <c r="A747" i="1" s="1"/>
  <c r="S748" i="1" l="1"/>
  <c r="A748" i="1" s="1"/>
  <c r="S749" i="1" l="1"/>
  <c r="A749" i="1" s="1"/>
  <c r="S750" i="1" l="1"/>
  <c r="A750" i="1" s="1"/>
  <c r="S751" i="1" l="1"/>
  <c r="A751" i="1" s="1"/>
  <c r="S752" i="1" l="1"/>
  <c r="A752" i="1" s="1"/>
  <c r="S753" i="1" l="1"/>
  <c r="A753" i="1" s="1"/>
  <c r="S754" i="1" l="1"/>
  <c r="A754" i="1" s="1"/>
  <c r="S756" i="1" l="1"/>
  <c r="A756" i="1" s="1"/>
  <c r="S757" i="1" l="1"/>
  <c r="A757" i="1" s="1"/>
  <c r="S758" i="1" l="1"/>
  <c r="A758" i="1" s="1"/>
  <c r="S759" i="1" l="1"/>
  <c r="A759" i="1" s="1"/>
  <c r="S760" i="1" l="1"/>
  <c r="A760" i="1" s="1"/>
  <c r="S761" i="1" l="1"/>
  <c r="A761" i="1" s="1"/>
  <c r="S762" i="1" l="1"/>
  <c r="A762" i="1" s="1"/>
  <c r="S763" i="1" l="1"/>
  <c r="A763" i="1" s="1"/>
  <c r="S764" i="1" l="1"/>
  <c r="A764" i="1" s="1"/>
  <c r="S765" i="1" l="1"/>
  <c r="A765" i="1" s="1"/>
  <c r="S766" i="1" l="1"/>
  <c r="A766" i="1" s="1"/>
  <c r="S767" i="1" l="1"/>
  <c r="A767" i="1" s="1"/>
  <c r="S768" i="1" l="1"/>
  <c r="A768" i="1" s="1"/>
  <c r="S769" i="1" l="1"/>
  <c r="A769" i="1" s="1"/>
  <c r="S770" i="1" l="1"/>
  <c r="A770" i="1" s="1"/>
  <c r="S771" i="1" l="1"/>
  <c r="A771" i="1" s="1"/>
  <c r="S772" i="1" l="1"/>
  <c r="A772" i="1" s="1"/>
  <c r="S773" i="1" l="1"/>
  <c r="A773" i="1" s="1"/>
  <c r="S774" i="1" l="1"/>
  <c r="A774" i="1" s="1"/>
  <c r="S775" i="1" l="1"/>
  <c r="A775" i="1" s="1"/>
  <c r="S776" i="1" l="1"/>
  <c r="A776" i="1" s="1"/>
  <c r="S777" i="1" l="1"/>
  <c r="A777" i="1" s="1"/>
  <c r="S778" i="1" l="1"/>
  <c r="A778" i="1" s="1"/>
  <c r="S779" i="1" l="1"/>
  <c r="A779" i="1" s="1"/>
  <c r="S780" i="1" l="1"/>
  <c r="A780" i="1" s="1"/>
  <c r="S781" i="1" l="1"/>
  <c r="A781" i="1" s="1"/>
  <c r="S782" i="1" l="1"/>
  <c r="A782" i="1" s="1"/>
  <c r="S783" i="1" l="1"/>
  <c r="A783" i="1" s="1"/>
  <c r="S784" i="1" l="1"/>
  <c r="A784" i="1" s="1"/>
  <c r="S785" i="1" l="1"/>
  <c r="A785" i="1" s="1"/>
  <c r="S786" i="1" l="1"/>
  <c r="A786" i="1" s="1"/>
  <c r="S787" i="1" l="1"/>
  <c r="A787" i="1" s="1"/>
  <c r="S788" i="1" l="1"/>
  <c r="A788" i="1" s="1"/>
  <c r="S789" i="1" l="1"/>
  <c r="A789" i="1" s="1"/>
  <c r="S790" i="1" l="1"/>
  <c r="A790" i="1" s="1"/>
  <c r="S791" i="1" l="1"/>
  <c r="A791" i="1" s="1"/>
  <c r="S792" i="1" l="1"/>
  <c r="A792" i="1" s="1"/>
  <c r="S793" i="1" l="1"/>
  <c r="A793" i="1" s="1"/>
  <c r="S794" i="1" l="1"/>
  <c r="A794" i="1" s="1"/>
  <c r="S795" i="1" l="1"/>
  <c r="A795" i="1" s="1"/>
  <c r="S796" i="1" l="1"/>
  <c r="A796" i="1" s="1"/>
  <c r="S797" i="1" l="1"/>
  <c r="A797" i="1" s="1"/>
  <c r="S798" i="1" l="1"/>
  <c r="A798" i="1" s="1"/>
  <c r="S799" i="1" l="1"/>
  <c r="A799" i="1" s="1"/>
  <c r="S800" i="1" l="1"/>
  <c r="A800" i="1" s="1"/>
  <c r="S801" i="1" l="1"/>
  <c r="A801" i="1" s="1"/>
  <c r="S802" i="1" l="1"/>
  <c r="A802" i="1" s="1"/>
  <c r="S803" i="1" l="1"/>
  <c r="A803" i="1" s="1"/>
  <c r="S804" i="1" l="1"/>
  <c r="A804" i="1" s="1"/>
  <c r="S805" i="1" l="1"/>
  <c r="A805" i="1" s="1"/>
  <c r="S806" i="1" l="1"/>
  <c r="A806" i="1" s="1"/>
  <c r="S807" i="1" l="1"/>
  <c r="A807" i="1" s="1"/>
  <c r="S808" i="1" l="1"/>
  <c r="A808" i="1" s="1"/>
  <c r="S809" i="1" l="1"/>
  <c r="A809" i="1" s="1"/>
  <c r="S810" i="1" l="1"/>
  <c r="A810" i="1" s="1"/>
  <c r="S811" i="1" l="1"/>
  <c r="A811" i="1" s="1"/>
  <c r="S812" i="1" l="1"/>
  <c r="A812" i="1" s="1"/>
  <c r="S814" i="1" l="1"/>
  <c r="A814" i="1" s="1"/>
  <c r="S815" i="1" l="1"/>
  <c r="A815" i="1" s="1"/>
  <c r="S816" i="1" l="1"/>
  <c r="A816" i="1" s="1"/>
  <c r="S817" i="1" l="1"/>
  <c r="A817" i="1" s="1"/>
  <c r="S818" i="1" l="1"/>
  <c r="A818" i="1" s="1"/>
  <c r="S819" i="1" l="1"/>
  <c r="A819" i="1" s="1"/>
  <c r="S820" i="1" l="1"/>
  <c r="A820" i="1" s="1"/>
  <c r="S821" i="1" l="1"/>
  <c r="A821" i="1" s="1"/>
  <c r="S822" i="1" l="1"/>
  <c r="A822" i="1" s="1"/>
  <c r="S823" i="1" l="1"/>
  <c r="A823" i="1" s="1"/>
  <c r="S824" i="1" l="1"/>
  <c r="A824" i="1" s="1"/>
  <c r="S825" i="1" l="1"/>
  <c r="A825" i="1" s="1"/>
  <c r="S826" i="1" l="1"/>
  <c r="A826" i="1" s="1"/>
  <c r="S827" i="1" l="1"/>
  <c r="A827" i="1" s="1"/>
  <c r="S828" i="1" l="1"/>
  <c r="A828" i="1" s="1"/>
  <c r="S829" i="1" l="1"/>
  <c r="A829" i="1" s="1"/>
  <c r="S830" i="1" l="1"/>
  <c r="A830" i="1" s="1"/>
  <c r="S831" i="1" l="1"/>
  <c r="A831" i="1" s="1"/>
  <c r="S832" i="1" l="1"/>
  <c r="A832" i="1" s="1"/>
  <c r="S833" i="1" l="1"/>
  <c r="A833" i="1" s="1"/>
  <c r="S834" i="1" l="1"/>
  <c r="A834" i="1" s="1"/>
  <c r="S835" i="1" l="1"/>
  <c r="A835" i="1" s="1"/>
  <c r="S836" i="1" l="1"/>
  <c r="A836" i="1" s="1"/>
  <c r="S837" i="1" l="1"/>
  <c r="A837" i="1" s="1"/>
  <c r="S838" i="1" l="1"/>
  <c r="A838" i="1" s="1"/>
  <c r="S839" i="1" l="1"/>
  <c r="A839" i="1" s="1"/>
  <c r="S840" i="1" l="1"/>
  <c r="A840" i="1" s="1"/>
  <c r="S841" i="1" l="1"/>
  <c r="A841" i="1" s="1"/>
  <c r="S842" i="1" l="1"/>
  <c r="A842" i="1" s="1"/>
  <c r="S843" i="1" l="1"/>
  <c r="A843" i="1" s="1"/>
  <c r="S844" i="1" l="1"/>
  <c r="A844" i="1" s="1"/>
  <c r="S845" i="1" l="1"/>
  <c r="A845" i="1" s="1"/>
  <c r="S846" i="1" l="1"/>
  <c r="A846" i="1" s="1"/>
  <c r="S847" i="1" l="1"/>
  <c r="A847" i="1" s="1"/>
  <c r="S848" i="1" l="1"/>
  <c r="A848" i="1" s="1"/>
  <c r="S849" i="1" l="1"/>
  <c r="A849" i="1" s="1"/>
  <c r="S850" i="1" l="1"/>
  <c r="A850" i="1" s="1"/>
  <c r="S851" i="1" l="1"/>
  <c r="A851" i="1" s="1"/>
  <c r="S852" i="1" l="1"/>
  <c r="A852" i="1" s="1"/>
  <c r="S853" i="1" l="1"/>
  <c r="A853" i="1" s="1"/>
  <c r="S854" i="1" l="1"/>
  <c r="A854" i="1" s="1"/>
  <c r="S855" i="1" l="1"/>
  <c r="A855" i="1" s="1"/>
  <c r="S856" i="1" l="1"/>
  <c r="A856" i="1" s="1"/>
  <c r="S857" i="1" l="1"/>
  <c r="A857" i="1" s="1"/>
  <c r="S858" i="1" l="1"/>
  <c r="A858" i="1" s="1"/>
  <c r="S859" i="1" l="1"/>
  <c r="A859" i="1" s="1"/>
  <c r="S860" i="1" l="1"/>
  <c r="A860" i="1" s="1"/>
  <c r="S861" i="1" l="1"/>
  <c r="A861" i="1" s="1"/>
  <c r="S862" i="1" l="1"/>
  <c r="A862" i="1" s="1"/>
  <c r="S863" i="1" l="1"/>
  <c r="A863" i="1" s="1"/>
  <c r="S864" i="1" l="1"/>
  <c r="A864" i="1" s="1"/>
  <c r="S865" i="1" l="1"/>
  <c r="A865" i="1" s="1"/>
  <c r="S866" i="1" l="1"/>
  <c r="A866" i="1" s="1"/>
  <c r="S867" i="1" l="1"/>
  <c r="A867" i="1" s="1"/>
  <c r="S868" i="1" l="1"/>
  <c r="A868" i="1" s="1"/>
  <c r="S869" i="1" l="1"/>
  <c r="A869" i="1" s="1"/>
  <c r="S870" i="1" l="1"/>
  <c r="A870" i="1" s="1"/>
  <c r="S872" i="1" l="1"/>
  <c r="A872" i="1" s="1"/>
  <c r="S873" i="1" l="1"/>
  <c r="A873" i="1" s="1"/>
  <c r="S874" i="1" l="1"/>
  <c r="A874" i="1" s="1"/>
  <c r="S875" i="1" l="1"/>
  <c r="A875" i="1" s="1"/>
  <c r="S876" i="1" l="1"/>
  <c r="A876" i="1" s="1"/>
  <c r="S877" i="1" l="1"/>
  <c r="A877" i="1" s="1"/>
  <c r="S878" i="1" l="1"/>
  <c r="A878" i="1" s="1"/>
  <c r="S879" i="1" l="1"/>
  <c r="A879" i="1" s="1"/>
  <c r="S880" i="1" l="1"/>
  <c r="A880" i="1" s="1"/>
  <c r="S881" i="1" l="1"/>
  <c r="A881" i="1" s="1"/>
  <c r="S882" i="1" l="1"/>
  <c r="A882" i="1" s="1"/>
  <c r="S883" i="1" l="1"/>
  <c r="A883" i="1" s="1"/>
  <c r="S884" i="1" l="1"/>
  <c r="A884" i="1" s="1"/>
  <c r="S885" i="1" l="1"/>
  <c r="A885" i="1" s="1"/>
  <c r="S886" i="1" l="1"/>
  <c r="A886" i="1" s="1"/>
  <c r="S887" i="1" l="1"/>
  <c r="A887" i="1" s="1"/>
  <c r="S888" i="1" l="1"/>
  <c r="A888" i="1" s="1"/>
  <c r="S889" i="1" l="1"/>
  <c r="A889" i="1" s="1"/>
  <c r="S890" i="1" l="1"/>
  <c r="A890" i="1" s="1"/>
  <c r="S891" i="1" l="1"/>
  <c r="A891" i="1" s="1"/>
  <c r="S892" i="1" l="1"/>
  <c r="A892" i="1" s="1"/>
  <c r="S893" i="1" l="1"/>
  <c r="A893" i="1" s="1"/>
  <c r="S894" i="1" l="1"/>
  <c r="A894" i="1" s="1"/>
  <c r="S895" i="1" l="1"/>
  <c r="A895" i="1" s="1"/>
  <c r="S896" i="1" l="1"/>
  <c r="A896" i="1" s="1"/>
  <c r="S897" i="1" l="1"/>
  <c r="A897" i="1" s="1"/>
  <c r="S898" i="1" l="1"/>
  <c r="A898" i="1" s="1"/>
  <c r="S899" i="1" l="1"/>
  <c r="A899" i="1" s="1"/>
  <c r="S900" i="1" l="1"/>
  <c r="A900" i="1" s="1"/>
  <c r="S901" i="1" l="1"/>
  <c r="A901" i="1" s="1"/>
  <c r="S902" i="1" l="1"/>
  <c r="A902" i="1" s="1"/>
  <c r="S903" i="1" l="1"/>
  <c r="A903" i="1" s="1"/>
  <c r="S904" i="1" l="1"/>
  <c r="A904" i="1" s="1"/>
  <c r="S905" i="1" l="1"/>
  <c r="A905" i="1" s="1"/>
  <c r="S906" i="1" l="1"/>
  <c r="A906" i="1" s="1"/>
  <c r="S907" i="1" l="1"/>
  <c r="A907" i="1" s="1"/>
  <c r="S908" i="1" l="1"/>
  <c r="A908" i="1" s="1"/>
  <c r="S909" i="1" l="1"/>
  <c r="A909" i="1" s="1"/>
  <c r="S910" i="1" l="1"/>
  <c r="A910" i="1" s="1"/>
  <c r="S911" i="1" l="1"/>
  <c r="A911" i="1" s="1"/>
  <c r="S912" i="1" l="1"/>
  <c r="A912" i="1" s="1"/>
  <c r="S913" i="1" l="1"/>
  <c r="A913" i="1" s="1"/>
  <c r="S914" i="1" l="1"/>
  <c r="A914" i="1" s="1"/>
  <c r="S915" i="1" l="1"/>
  <c r="A915" i="1" s="1"/>
  <c r="S916" i="1" l="1"/>
  <c r="A916" i="1" s="1"/>
  <c r="S917" i="1" l="1"/>
  <c r="A917" i="1" s="1"/>
  <c r="S918" i="1" l="1"/>
  <c r="A918" i="1" s="1"/>
  <c r="S919" i="1" l="1"/>
  <c r="A919" i="1" s="1"/>
  <c r="S920" i="1" l="1"/>
  <c r="A920" i="1" s="1"/>
  <c r="S921" i="1" l="1"/>
  <c r="A921" i="1" s="1"/>
  <c r="S922" i="1" l="1"/>
  <c r="A922" i="1" s="1"/>
  <c r="S923" i="1" l="1"/>
  <c r="A923" i="1" s="1"/>
  <c r="S924" i="1" l="1"/>
  <c r="A924" i="1" s="1"/>
  <c r="S925" i="1" l="1"/>
  <c r="A925" i="1" s="1"/>
  <c r="S926" i="1" l="1"/>
  <c r="A926" i="1" s="1"/>
  <c r="S927" i="1" l="1"/>
  <c r="A927" i="1" s="1"/>
  <c r="S928" i="1" l="1"/>
  <c r="A928" i="1" s="1"/>
  <c r="S930" i="1" l="1"/>
  <c r="A930" i="1" s="1"/>
  <c r="S931" i="1" l="1"/>
  <c r="A931" i="1" s="1"/>
  <c r="S932" i="1" l="1"/>
  <c r="A932" i="1" s="1"/>
  <c r="S933" i="1" l="1"/>
  <c r="A933" i="1" s="1"/>
  <c r="S934" i="1" l="1"/>
  <c r="A934" i="1" s="1"/>
  <c r="S935" i="1" l="1"/>
  <c r="A935" i="1" s="1"/>
  <c r="S936" i="1" l="1"/>
  <c r="A936" i="1" s="1"/>
  <c r="S937" i="1" l="1"/>
  <c r="A937" i="1" s="1"/>
  <c r="S938" i="1" l="1"/>
  <c r="A938" i="1" s="1"/>
  <c r="S939" i="1" l="1"/>
  <c r="A939" i="1" s="1"/>
  <c r="S940" i="1" l="1"/>
  <c r="A940" i="1" s="1"/>
  <c r="S941" i="1" l="1"/>
  <c r="A941" i="1" s="1"/>
  <c r="S942" i="1" l="1"/>
  <c r="A942" i="1" s="1"/>
  <c r="S943" i="1" l="1"/>
  <c r="A943" i="1" s="1"/>
  <c r="S944" i="1" l="1"/>
  <c r="A944" i="1" s="1"/>
  <c r="S945" i="1" l="1"/>
  <c r="A945" i="1" s="1"/>
  <c r="S946" i="1" l="1"/>
  <c r="A946" i="1" s="1"/>
  <c r="S947" i="1" l="1"/>
  <c r="A947" i="1" s="1"/>
  <c r="S948" i="1" l="1"/>
  <c r="A948" i="1" s="1"/>
  <c r="S949" i="1" l="1"/>
  <c r="A949" i="1" s="1"/>
  <c r="S950" i="1" l="1"/>
  <c r="A950" i="1" s="1"/>
  <c r="S951" i="1" l="1"/>
  <c r="A951" i="1" s="1"/>
  <c r="S952" i="1" l="1"/>
  <c r="A952" i="1" s="1"/>
  <c r="S953" i="1" l="1"/>
  <c r="A953" i="1" s="1"/>
  <c r="S954" i="1" l="1"/>
  <c r="A954" i="1" s="1"/>
  <c r="S955" i="1" l="1"/>
  <c r="A955" i="1" s="1"/>
  <c r="S956" i="1" l="1"/>
  <c r="A956" i="1" s="1"/>
  <c r="S957" i="1" l="1"/>
  <c r="A957" i="1" s="1"/>
  <c r="S958" i="1" l="1"/>
  <c r="A958" i="1" s="1"/>
  <c r="S959" i="1" l="1"/>
  <c r="A959" i="1" s="1"/>
  <c r="S960" i="1" l="1"/>
  <c r="A960" i="1" s="1"/>
  <c r="S961" i="1" l="1"/>
  <c r="A961" i="1" s="1"/>
  <c r="S962" i="1" l="1"/>
  <c r="A962" i="1" s="1"/>
  <c r="S963" i="1" l="1"/>
  <c r="A963" i="1" s="1"/>
  <c r="S964" i="1" l="1"/>
  <c r="A964" i="1" s="1"/>
  <c r="S965" i="1" l="1"/>
  <c r="A965" i="1" s="1"/>
  <c r="S966" i="1" l="1"/>
  <c r="A966" i="1" s="1"/>
  <c r="S967" i="1" l="1"/>
  <c r="A967" i="1" s="1"/>
  <c r="S968" i="1" l="1"/>
  <c r="A968" i="1" s="1"/>
  <c r="S969" i="1" l="1"/>
  <c r="A969" i="1" s="1"/>
  <c r="S970" i="1" l="1"/>
  <c r="A970" i="1" s="1"/>
  <c r="S971" i="1" l="1"/>
  <c r="A971" i="1" s="1"/>
  <c r="S972" i="1" l="1"/>
  <c r="A972" i="1" s="1"/>
  <c r="S973" i="1" l="1"/>
  <c r="A973" i="1" s="1"/>
  <c r="S974" i="1" l="1"/>
  <c r="A974" i="1" s="1"/>
  <c r="S975" i="1" l="1"/>
  <c r="A975" i="1" s="1"/>
  <c r="S976" i="1" l="1"/>
  <c r="A976" i="1" s="1"/>
  <c r="S977" i="1" l="1"/>
  <c r="A977" i="1" s="1"/>
  <c r="S978" i="1" l="1"/>
  <c r="A978" i="1" s="1"/>
  <c r="S979" i="1" l="1"/>
  <c r="A979" i="1" s="1"/>
  <c r="S980" i="1" l="1"/>
  <c r="A980" i="1" s="1"/>
  <c r="S981" i="1" l="1"/>
  <c r="A981" i="1" s="1"/>
  <c r="S982" i="1" l="1"/>
  <c r="A982" i="1" s="1"/>
  <c r="S983" i="1" l="1"/>
  <c r="A983" i="1" s="1"/>
  <c r="S984" i="1" l="1"/>
  <c r="A984" i="1" s="1"/>
  <c r="S985" i="1" l="1"/>
  <c r="A985" i="1" s="1"/>
  <c r="S986" i="1" l="1"/>
  <c r="A986" i="1" s="1"/>
  <c r="S988" i="1" l="1"/>
  <c r="A988" i="1" s="1"/>
  <c r="S989" i="1" l="1"/>
  <c r="A989" i="1" s="1"/>
  <c r="S990" i="1" l="1"/>
  <c r="A990" i="1" s="1"/>
  <c r="S991" i="1" l="1"/>
  <c r="A991" i="1" s="1"/>
  <c r="S992" i="1" l="1"/>
  <c r="A992" i="1" s="1"/>
  <c r="S993" i="1" l="1"/>
  <c r="A993" i="1" s="1"/>
  <c r="S994" i="1" l="1"/>
  <c r="A994" i="1" s="1"/>
  <c r="S995" i="1" l="1"/>
  <c r="A995" i="1" s="1"/>
  <c r="S996" i="1" l="1"/>
  <c r="A996" i="1" s="1"/>
  <c r="S997" i="1" l="1"/>
  <c r="A997" i="1" s="1"/>
  <c r="S998" i="1" l="1"/>
  <c r="A998" i="1" s="1"/>
  <c r="S999" i="1" l="1"/>
  <c r="A999" i="1" s="1"/>
  <c r="S1000" i="1" l="1"/>
  <c r="A1000" i="1" s="1"/>
  <c r="S1001" i="1" l="1"/>
  <c r="A1001" i="1" s="1"/>
  <c r="S1002" i="1" l="1"/>
  <c r="A1002" i="1" s="1"/>
  <c r="S1003" i="1" l="1"/>
  <c r="A1003" i="1" s="1"/>
  <c r="S1004" i="1" l="1"/>
  <c r="A1004" i="1" s="1"/>
  <c r="S1005" i="1" l="1"/>
  <c r="A1005" i="1" s="1"/>
  <c r="S1006" i="1" l="1"/>
  <c r="A1006" i="1" s="1"/>
  <c r="S1007" i="1" l="1"/>
  <c r="A1007" i="1" s="1"/>
  <c r="S1008" i="1" l="1"/>
  <c r="A1008" i="1" s="1"/>
  <c r="S1009" i="1" l="1"/>
  <c r="A1009" i="1" s="1"/>
  <c r="S1010" i="1" l="1"/>
  <c r="A1010" i="1" s="1"/>
  <c r="S1011" i="1" l="1"/>
  <c r="A1011" i="1" s="1"/>
  <c r="S1012" i="1" l="1"/>
  <c r="A1012" i="1" s="1"/>
  <c r="S1013" i="1" l="1"/>
  <c r="A1013" i="1" s="1"/>
  <c r="S1014" i="1" l="1"/>
  <c r="A1014" i="1" s="1"/>
  <c r="S1015" i="1" l="1"/>
  <c r="A1015" i="1" s="1"/>
  <c r="S1016" i="1" l="1"/>
  <c r="A1016" i="1" s="1"/>
  <c r="S1017" i="1" l="1"/>
  <c r="A1017" i="1" s="1"/>
  <c r="S1018" i="1" l="1"/>
  <c r="A1018" i="1" s="1"/>
  <c r="S1019" i="1" l="1"/>
  <c r="A1019" i="1" s="1"/>
  <c r="S1020" i="1" l="1"/>
  <c r="A1020" i="1" s="1"/>
  <c r="S1021" i="1" l="1"/>
  <c r="A1021" i="1" s="1"/>
  <c r="S1022" i="1" l="1"/>
  <c r="A1022" i="1" s="1"/>
  <c r="S1023" i="1" l="1"/>
  <c r="A1023" i="1" s="1"/>
  <c r="S1024" i="1" l="1"/>
  <c r="A1024" i="1" s="1"/>
  <c r="S1025" i="1" l="1"/>
  <c r="A1025" i="1" s="1"/>
  <c r="S1026" i="1" l="1"/>
  <c r="A1026" i="1" s="1"/>
  <c r="S1027" i="1" l="1"/>
  <c r="A1027" i="1" s="1"/>
  <c r="S1028" i="1" l="1"/>
  <c r="A1028" i="1" s="1"/>
  <c r="S1029" i="1" l="1"/>
  <c r="A1029" i="1" s="1"/>
  <c r="S1030" i="1" l="1"/>
  <c r="A1030" i="1" s="1"/>
  <c r="S1031" i="1" l="1"/>
  <c r="A1031" i="1" s="1"/>
  <c r="S1032" i="1" l="1"/>
  <c r="A1032" i="1" s="1"/>
  <c r="S1033" i="1" l="1"/>
  <c r="A1033" i="1" s="1"/>
  <c r="S1034" i="1" l="1"/>
  <c r="A1034" i="1" s="1"/>
  <c r="S1035" i="1" l="1"/>
  <c r="A1035" i="1" s="1"/>
  <c r="S1036" i="1" l="1"/>
  <c r="A1036" i="1" s="1"/>
  <c r="S1037" i="1" l="1"/>
  <c r="A1037" i="1" s="1"/>
  <c r="S1038" i="1" l="1"/>
  <c r="A1038" i="1" s="1"/>
  <c r="S1039" i="1" l="1"/>
  <c r="A1039" i="1" s="1"/>
  <c r="S1040" i="1" l="1"/>
  <c r="A1040" i="1" s="1"/>
  <c r="S1041" i="1" l="1"/>
  <c r="A1041" i="1" s="1"/>
  <c r="S1042" i="1" l="1"/>
  <c r="A1042" i="1" s="1"/>
  <c r="S1043" i="1" l="1"/>
  <c r="A1043" i="1" s="1"/>
  <c r="S1044" i="1" l="1"/>
  <c r="A1044" i="1" s="1"/>
  <c r="S1046" i="1" l="1"/>
  <c r="A1046" i="1" s="1"/>
  <c r="S1047" i="1" l="1"/>
  <c r="A1047" i="1" s="1"/>
  <c r="S1048" i="1" l="1"/>
  <c r="A1048" i="1" s="1"/>
  <c r="S1049" i="1" l="1"/>
  <c r="A1049" i="1" s="1"/>
  <c r="S1050" i="1" l="1"/>
  <c r="A1050" i="1" s="1"/>
  <c r="S1051" i="1" l="1"/>
  <c r="A1051" i="1" s="1"/>
  <c r="S1052" i="1" l="1"/>
  <c r="A1052" i="1" s="1"/>
  <c r="S1053" i="1" l="1"/>
  <c r="A1053" i="1" s="1"/>
  <c r="S1054" i="1" l="1"/>
  <c r="A1054" i="1" s="1"/>
  <c r="S1055" i="1" l="1"/>
  <c r="A1055" i="1" s="1"/>
  <c r="S1056" i="1" l="1"/>
  <c r="A1056" i="1" s="1"/>
  <c r="S1057" i="1" l="1"/>
  <c r="A1057" i="1" s="1"/>
  <c r="S1058" i="1" l="1"/>
  <c r="A1058" i="1" s="1"/>
  <c r="S1059" i="1" l="1"/>
  <c r="A1059" i="1" s="1"/>
  <c r="S1060" i="1" l="1"/>
  <c r="A1060" i="1" s="1"/>
  <c r="S1061" i="1" l="1"/>
  <c r="A1061" i="1" s="1"/>
  <c r="S1062" i="1" l="1"/>
  <c r="A1062" i="1" s="1"/>
  <c r="S1063" i="1" l="1"/>
  <c r="A1063" i="1" s="1"/>
  <c r="S1064" i="1" l="1"/>
  <c r="A1064" i="1" s="1"/>
  <c r="S1065" i="1" l="1"/>
  <c r="A1065" i="1" s="1"/>
  <c r="S1066" i="1" l="1"/>
  <c r="A1066" i="1" s="1"/>
  <c r="S1067" i="1" l="1"/>
  <c r="A1067" i="1" s="1"/>
  <c r="S1068" i="1" l="1"/>
  <c r="A1068" i="1" s="1"/>
  <c r="S1069" i="1" l="1"/>
  <c r="A1069" i="1" s="1"/>
  <c r="S1070" i="1" l="1"/>
  <c r="A1070" i="1" s="1"/>
  <c r="S1071" i="1" l="1"/>
  <c r="A1071" i="1" s="1"/>
  <c r="S1072" i="1" l="1"/>
  <c r="A1072" i="1" s="1"/>
  <c r="S1073" i="1" l="1"/>
  <c r="A1073" i="1" s="1"/>
  <c r="S1074" i="1" l="1"/>
  <c r="A1074" i="1" s="1"/>
  <c r="S1075" i="1" l="1"/>
  <c r="A1075" i="1" s="1"/>
  <c r="S1076" i="1" l="1"/>
  <c r="A1076" i="1" s="1"/>
  <c r="S1077" i="1" l="1"/>
  <c r="A1077" i="1" s="1"/>
  <c r="S1078" i="1" l="1"/>
  <c r="A1078" i="1" s="1"/>
  <c r="S1079" i="1" l="1"/>
  <c r="A1079" i="1" s="1"/>
  <c r="S1080" i="1" l="1"/>
  <c r="A1080" i="1" s="1"/>
  <c r="S1081" i="1" l="1"/>
  <c r="A1081" i="1" s="1"/>
  <c r="S1082" i="1" l="1"/>
  <c r="A1082" i="1" s="1"/>
  <c r="S1083" i="1" l="1"/>
  <c r="A1083" i="1" s="1"/>
  <c r="S1084" i="1" l="1"/>
  <c r="A1084" i="1" s="1"/>
  <c r="S1085" i="1" l="1"/>
  <c r="A1085" i="1" s="1"/>
  <c r="S1086" i="1" l="1"/>
  <c r="A1086" i="1" s="1"/>
  <c r="S1087" i="1" l="1"/>
  <c r="A1087" i="1" s="1"/>
  <c r="S1088" i="1" l="1"/>
  <c r="A1088" i="1" s="1"/>
  <c r="S1089" i="1" l="1"/>
  <c r="A1089" i="1" s="1"/>
  <c r="S1090" i="1" l="1"/>
  <c r="A1090" i="1" s="1"/>
  <c r="S1091" i="1" l="1"/>
  <c r="A1091" i="1" s="1"/>
  <c r="S1092" i="1" l="1"/>
  <c r="A1092" i="1" s="1"/>
  <c r="S1093" i="1" l="1"/>
  <c r="A1093" i="1" s="1"/>
  <c r="S1094" i="1" l="1"/>
  <c r="A1094" i="1" s="1"/>
  <c r="S1095" i="1" l="1"/>
  <c r="A1095" i="1" s="1"/>
  <c r="S1096" i="1" l="1"/>
  <c r="A1096" i="1" s="1"/>
  <c r="S1097" i="1" l="1"/>
  <c r="A1097" i="1" s="1"/>
  <c r="S1098" i="1" l="1"/>
  <c r="A1098" i="1" s="1"/>
  <c r="S1099" i="1" l="1"/>
  <c r="A1099" i="1" s="1"/>
  <c r="S1100" i="1" l="1"/>
  <c r="A1100" i="1" s="1"/>
  <c r="S1101" i="1" l="1"/>
  <c r="A1101" i="1" s="1"/>
  <c r="S1102" i="1" l="1"/>
  <c r="A1102" i="1" s="1"/>
  <c r="S1104" i="1" l="1"/>
  <c r="A1104" i="1" s="1"/>
  <c r="S1105" i="1" l="1"/>
  <c r="A1105" i="1" s="1"/>
  <c r="S1106" i="1" l="1"/>
  <c r="A1106" i="1" s="1"/>
  <c r="S1107" i="1" l="1"/>
  <c r="A1107" i="1" s="1"/>
  <c r="S1108" i="1" l="1"/>
  <c r="A1108" i="1" s="1"/>
  <c r="S1109" i="1" l="1"/>
  <c r="A1109" i="1" s="1"/>
  <c r="S1110" i="1" l="1"/>
  <c r="A1110" i="1" s="1"/>
  <c r="S1111" i="1" l="1"/>
  <c r="A1111" i="1" s="1"/>
  <c r="S1112" i="1" l="1"/>
  <c r="A1112" i="1" s="1"/>
  <c r="S1113" i="1" l="1"/>
  <c r="A1113" i="1" s="1"/>
  <c r="S1114" i="1" l="1"/>
  <c r="A1114" i="1" s="1"/>
  <c r="S1115" i="1" l="1"/>
  <c r="A1115" i="1" s="1"/>
  <c r="S1116" i="1" l="1"/>
  <c r="A1116" i="1" s="1"/>
  <c r="S1117" i="1" l="1"/>
  <c r="A1117" i="1" s="1"/>
  <c r="S1118" i="1" l="1"/>
  <c r="A1118" i="1" s="1"/>
  <c r="S1119" i="1" l="1"/>
  <c r="A1119" i="1" s="1"/>
  <c r="S1120" i="1" l="1"/>
  <c r="A1120" i="1" s="1"/>
  <c r="S1121" i="1" l="1"/>
  <c r="A1121" i="1" s="1"/>
  <c r="S1122" i="1" l="1"/>
  <c r="A1122" i="1" s="1"/>
  <c r="S1123" i="1" l="1"/>
  <c r="A1123" i="1" s="1"/>
  <c r="S1124" i="1" l="1"/>
  <c r="A1124" i="1" s="1"/>
  <c r="S1125" i="1" l="1"/>
  <c r="A1125" i="1" s="1"/>
  <c r="S1126" i="1" l="1"/>
  <c r="A1126" i="1" s="1"/>
  <c r="S1127" i="1" l="1"/>
  <c r="A1127" i="1" s="1"/>
  <c r="S1128" i="1" l="1"/>
  <c r="A1128" i="1" s="1"/>
  <c r="S1129" i="1" l="1"/>
  <c r="A1129" i="1" s="1"/>
  <c r="S1130" i="1" l="1"/>
  <c r="A1130" i="1" s="1"/>
  <c r="S1131" i="1" l="1"/>
  <c r="A1131" i="1" s="1"/>
  <c r="S1132" i="1" l="1"/>
  <c r="A1132" i="1" s="1"/>
  <c r="S1133" i="1" l="1"/>
  <c r="A1133" i="1" s="1"/>
  <c r="S1134" i="1" l="1"/>
  <c r="A1134" i="1" s="1"/>
  <c r="S1135" i="1" l="1"/>
  <c r="A1135" i="1" s="1"/>
  <c r="S1136" i="1" l="1"/>
  <c r="A1136" i="1" s="1"/>
  <c r="S1137" i="1" l="1"/>
  <c r="A1137" i="1" s="1"/>
  <c r="S1138" i="1" l="1"/>
  <c r="A1138" i="1" s="1"/>
  <c r="S1139" i="1" l="1"/>
  <c r="A1139" i="1" s="1"/>
  <c r="S1140" i="1" l="1"/>
  <c r="A1140" i="1" s="1"/>
  <c r="S1141" i="1" l="1"/>
  <c r="A1141" i="1" s="1"/>
  <c r="S1142" i="1" l="1"/>
  <c r="A1142" i="1" s="1"/>
  <c r="S1143" i="1" l="1"/>
  <c r="A1143" i="1" s="1"/>
  <c r="S1144" i="1" l="1"/>
  <c r="A1144" i="1" s="1"/>
  <c r="S1145" i="1" l="1"/>
  <c r="A1145" i="1" s="1"/>
  <c r="S1146" i="1" l="1"/>
  <c r="A1146" i="1" s="1"/>
  <c r="S1147" i="1" l="1"/>
  <c r="A1147" i="1" s="1"/>
  <c r="S1148" i="1" l="1"/>
  <c r="A1148" i="1" s="1"/>
  <c r="S1149" i="1" l="1"/>
  <c r="A1149" i="1" s="1"/>
  <c r="S1150" i="1" l="1"/>
  <c r="A1150" i="1" s="1"/>
  <c r="S1151" i="1" l="1"/>
  <c r="A1151" i="1" s="1"/>
  <c r="S1152" i="1" l="1"/>
  <c r="A1152" i="1" s="1"/>
  <c r="S1153" i="1" l="1"/>
  <c r="A1153" i="1" s="1"/>
  <c r="S1154" i="1" l="1"/>
  <c r="A1154" i="1" s="1"/>
  <c r="S1155" i="1" l="1"/>
  <c r="A1155" i="1" s="1"/>
  <c r="S1156" i="1" l="1"/>
  <c r="A1156" i="1" s="1"/>
  <c r="S1157" i="1" l="1"/>
  <c r="A1157" i="1" s="1"/>
  <c r="S1158" i="1" l="1"/>
  <c r="A1158" i="1" s="1"/>
  <c r="S1159" i="1" l="1"/>
  <c r="A1159" i="1" s="1"/>
  <c r="S1160" i="1" l="1"/>
  <c r="A1160" i="1" s="1"/>
  <c r="BN6" i="2" l="1"/>
  <c r="BT6" i="2"/>
  <c r="BU6" i="2"/>
  <c r="BA6" i="2"/>
  <c r="AR6" i="2"/>
  <c r="BI6" i="2"/>
  <c r="CB6" i="2"/>
  <c r="AZ6" i="2"/>
  <c r="X6" i="2"/>
  <c r="AA6" i="2"/>
  <c r="Y6" i="2"/>
  <c r="BX6" i="2"/>
  <c r="AF6" i="2"/>
  <c r="BZ6" i="2"/>
  <c r="AU6" i="2"/>
  <c r="AG6" i="2"/>
  <c r="AV6" i="2"/>
  <c r="BE6" i="2"/>
  <c r="BJ6" i="2"/>
  <c r="Z6" i="2"/>
  <c r="BV6" i="2"/>
  <c r="AC6" i="2"/>
  <c r="BK6" i="2"/>
  <c r="CC6" i="2"/>
  <c r="AX6" i="2"/>
  <c r="AN6" i="2"/>
  <c r="BH6" i="2"/>
  <c r="BG6" i="2"/>
  <c r="AK6" i="2"/>
  <c r="BP6" i="2"/>
  <c r="AW6" i="2"/>
  <c r="AS6" i="2"/>
  <c r="AQ6" i="2"/>
  <c r="BY6" i="2"/>
  <c r="BD6" i="2"/>
  <c r="BM6" i="2"/>
  <c r="BL6" i="2"/>
  <c r="AH6" i="2"/>
  <c r="CA6" i="2"/>
  <c r="BW6" i="2"/>
  <c r="V6" i="2"/>
  <c r="AD6" i="2"/>
  <c r="AB6" i="2"/>
  <c r="BO6" i="2"/>
  <c r="BR6" i="2"/>
  <c r="AE6" i="2"/>
  <c r="BF6" i="2"/>
  <c r="BQ6" i="2"/>
  <c r="AO6" i="2"/>
  <c r="W6" i="2"/>
  <c r="AL6" i="2"/>
  <c r="AI6" i="2"/>
  <c r="AP6" i="2"/>
  <c r="BS6" i="2"/>
  <c r="AM6" i="2"/>
  <c r="AJ6" i="2"/>
  <c r="AT6" i="2"/>
  <c r="BC6" i="2"/>
  <c r="BB6" i="2"/>
  <c r="AY6" i="2"/>
  <c r="AD7" i="2"/>
  <c r="C12" i="2"/>
  <c r="C13" i="2"/>
  <c r="Y7" i="2"/>
  <c r="AK7" i="2"/>
  <c r="B8" i="2"/>
  <c r="V7" i="2"/>
  <c r="C17" i="2"/>
  <c r="CA7" i="2"/>
  <c r="BM7" i="2"/>
  <c r="C10" i="2"/>
  <c r="BN7" i="2"/>
  <c r="AR7" i="2"/>
  <c r="BP7" i="2"/>
  <c r="BL7" i="2"/>
  <c r="B15" i="2"/>
  <c r="Z7" i="2"/>
  <c r="BB7" i="2"/>
  <c r="B10" i="2"/>
  <c r="BY7" i="2"/>
  <c r="AY7" i="2"/>
  <c r="N7" i="2"/>
  <c r="AZ7" i="2"/>
  <c r="C8" i="2"/>
  <c r="W7" i="2"/>
  <c r="BG7" i="2"/>
  <c r="B11" i="2"/>
  <c r="B9" i="2"/>
  <c r="BD7" i="2"/>
  <c r="CB7" i="2"/>
  <c r="BE7" i="2"/>
  <c r="BZ7" i="2"/>
  <c r="BI7" i="2"/>
  <c r="O7" i="2"/>
  <c r="BW7" i="2"/>
  <c r="C14" i="2"/>
  <c r="BA7" i="2"/>
  <c r="CC7" i="2"/>
  <c r="C15" i="2"/>
  <c r="BR7" i="2"/>
  <c r="X7" i="2"/>
  <c r="AJ7" i="2"/>
  <c r="AW7" i="2"/>
  <c r="BT7" i="2"/>
  <c r="C9" i="2"/>
  <c r="AB7" i="2"/>
  <c r="C16" i="2"/>
  <c r="AO7" i="2"/>
  <c r="AG7" i="2"/>
  <c r="AQ7" i="2"/>
  <c r="C11" i="2"/>
  <c r="AV7" i="2"/>
  <c r="BQ7" i="2"/>
  <c r="B14" i="2"/>
  <c r="BK7" i="2"/>
  <c r="AL7" i="2"/>
  <c r="B13" i="2"/>
  <c r="AT7" i="2"/>
  <c r="BJ7" i="2"/>
  <c r="BS7" i="2"/>
  <c r="B12" i="2"/>
  <c r="AP7" i="2"/>
  <c r="BV7" i="2"/>
  <c r="BH7" i="2"/>
  <c r="B16" i="2"/>
  <c r="AI7" i="2"/>
  <c r="BO7" i="2"/>
  <c r="AC7" i="2"/>
  <c r="AS7" i="2"/>
  <c r="AE7" i="2"/>
  <c r="AN7" i="2"/>
  <c r="BX7" i="2"/>
  <c r="B17" i="2"/>
  <c r="AH7" i="2"/>
  <c r="AX7" i="2"/>
  <c r="AA7" i="2"/>
  <c r="AU7" i="2"/>
  <c r="BU7" i="2"/>
  <c r="M7" i="2"/>
  <c r="AM7" i="2"/>
  <c r="BF7" i="2"/>
  <c r="AF7" i="2"/>
  <c r="BC7" i="2"/>
  <c r="C18" i="2"/>
  <c r="B18" i="2"/>
  <c r="C19" i="2"/>
  <c r="B24" i="2"/>
  <c r="C24" i="2"/>
  <c r="C21" i="2"/>
  <c r="C23" i="2"/>
  <c r="B19" i="2"/>
  <c r="B22" i="2"/>
  <c r="C22" i="2"/>
  <c r="C25" i="2"/>
  <c r="C20" i="2"/>
  <c r="B25" i="2"/>
  <c r="B20" i="2"/>
  <c r="B21" i="2"/>
  <c r="B23" i="2"/>
  <c r="AL21" i="2" l="1"/>
  <c r="BT21" i="2"/>
  <c r="AW21" i="2"/>
  <c r="AA21" i="2"/>
  <c r="BU21" i="2"/>
  <c r="AS21" i="2"/>
  <c r="W21" i="2"/>
  <c r="BZ21" i="2"/>
  <c r="BP21" i="2"/>
  <c r="AN21" i="2"/>
  <c r="BL21" i="2"/>
  <c r="BY21" i="2"/>
  <c r="N21" i="2"/>
  <c r="AO21" i="2"/>
  <c r="AG21" i="2"/>
  <c r="L21" i="2"/>
  <c r="BV21" i="2"/>
  <c r="J21" i="2"/>
  <c r="BX21" i="2"/>
  <c r="CA21" i="2"/>
  <c r="AY21" i="2"/>
  <c r="AB21" i="2"/>
  <c r="BN21" i="2"/>
  <c r="AZ21" i="2"/>
  <c r="X21" i="2"/>
  <c r="BG21" i="2"/>
  <c r="BJ21" i="2"/>
  <c r="AU21" i="2"/>
  <c r="CC21" i="2"/>
  <c r="AK21" i="2"/>
  <c r="BC21" i="2"/>
  <c r="D21" i="2"/>
  <c r="G21" i="2"/>
  <c r="H21" i="2"/>
  <c r="BF21" i="2"/>
  <c r="BK21" i="2"/>
  <c r="F21" i="2"/>
  <c r="BW21" i="2"/>
  <c r="BR21" i="2"/>
  <c r="BE21" i="2"/>
  <c r="AC21" i="2"/>
  <c r="CB21" i="2"/>
  <c r="AX21" i="2"/>
  <c r="AE21" i="2"/>
  <c r="BM21" i="2"/>
  <c r="AF21" i="2"/>
  <c r="AT21" i="2"/>
  <c r="Y21" i="2"/>
  <c r="BH21" i="2"/>
  <c r="BQ21" i="2"/>
  <c r="AV21" i="2"/>
  <c r="K21" i="2"/>
  <c r="Z21" i="2"/>
  <c r="R21" i="2"/>
  <c r="S21" i="2"/>
  <c r="AI21" i="2"/>
  <c r="M21" i="2"/>
  <c r="Q21" i="2"/>
  <c r="BB21" i="2"/>
  <c r="AJ21" i="2"/>
  <c r="BS21" i="2"/>
  <c r="BA21" i="2"/>
  <c r="AH21" i="2"/>
  <c r="BO21" i="2"/>
  <c r="AR21" i="2"/>
  <c r="V21" i="2"/>
  <c r="AD21" i="2"/>
  <c r="BI21" i="2"/>
  <c r="AM21" i="2"/>
  <c r="AP21" i="2"/>
  <c r="E21" i="2"/>
  <c r="U21" i="2"/>
  <c r="BD21" i="2"/>
  <c r="I21" i="2"/>
  <c r="P21" i="2"/>
  <c r="AQ21" i="2"/>
  <c r="O21" i="2"/>
  <c r="T21" i="2"/>
  <c r="BR25" i="2"/>
  <c r="BD25" i="2"/>
  <c r="AG25" i="2"/>
  <c r="CA25" i="2"/>
  <c r="AX25" i="2"/>
  <c r="AC25" i="2"/>
  <c r="BQ25" i="2"/>
  <c r="AE25" i="2"/>
  <c r="AT25" i="2"/>
  <c r="X25" i="2"/>
  <c r="BL25" i="2"/>
  <c r="BP25" i="2"/>
  <c r="AU25" i="2"/>
  <c r="R25" i="2"/>
  <c r="U25" i="2"/>
  <c r="AK25" i="2"/>
  <c r="M25" i="2"/>
  <c r="BI25" i="2"/>
  <c r="Q25" i="2"/>
  <c r="AN25" i="2"/>
  <c r="BB25" i="2"/>
  <c r="AI25" i="2"/>
  <c r="BW25" i="2"/>
  <c r="AZ25" i="2"/>
  <c r="AH25" i="2"/>
  <c r="BS25" i="2"/>
  <c r="AV25" i="2"/>
  <c r="V25" i="2"/>
  <c r="AD25" i="2"/>
  <c r="BM25" i="2"/>
  <c r="AQ25" i="2"/>
  <c r="AP25" i="2"/>
  <c r="T25" i="2"/>
  <c r="BF25" i="2"/>
  <c r="G25" i="2"/>
  <c r="D25" i="2"/>
  <c r="J25" i="2"/>
  <c r="AM25" i="2"/>
  <c r="N25" i="2"/>
  <c r="BU25" i="2"/>
  <c r="AL25" i="2"/>
  <c r="BX25" i="2"/>
  <c r="BA25" i="2"/>
  <c r="Y25" i="2"/>
  <c r="BT25" i="2"/>
  <c r="AW25" i="2"/>
  <c r="AA25" i="2"/>
  <c r="BZ25" i="2"/>
  <c r="BO25" i="2"/>
  <c r="AR25" i="2"/>
  <c r="BK25" i="2"/>
  <c r="CC25" i="2"/>
  <c r="K25" i="2"/>
  <c r="CB25" i="2"/>
  <c r="Z25" i="2"/>
  <c r="L25" i="2"/>
  <c r="H25" i="2"/>
  <c r="AO25" i="2"/>
  <c r="F25" i="2"/>
  <c r="BY25" i="2"/>
  <c r="BC25" i="2"/>
  <c r="AF25" i="2"/>
  <c r="BN25" i="2"/>
  <c r="AY25" i="2"/>
  <c r="AB25" i="2"/>
  <c r="BE25" i="2"/>
  <c r="BJ25" i="2"/>
  <c r="AS25" i="2"/>
  <c r="W25" i="2"/>
  <c r="AJ25" i="2"/>
  <c r="BG25" i="2"/>
  <c r="S25" i="2"/>
  <c r="I25" i="2"/>
  <c r="BH25" i="2"/>
  <c r="E25" i="2"/>
  <c r="BV25" i="2"/>
  <c r="O25" i="2"/>
  <c r="P25" i="2"/>
  <c r="AM22" i="2"/>
  <c r="BY22" i="2"/>
  <c r="BB22" i="2"/>
  <c r="BA22" i="2"/>
  <c r="BZ22" i="2"/>
  <c r="AX22" i="2"/>
  <c r="AB22" i="2"/>
  <c r="CA22" i="2"/>
  <c r="BU22" i="2"/>
  <c r="AS22" i="2"/>
  <c r="BQ22" i="2"/>
  <c r="BI22" i="2"/>
  <c r="Q22" i="2"/>
  <c r="BH22" i="2"/>
  <c r="BP22" i="2"/>
  <c r="I22" i="2"/>
  <c r="T22" i="2"/>
  <c r="CB22" i="2"/>
  <c r="O22" i="2"/>
  <c r="BG22" i="2"/>
  <c r="BV22" i="2"/>
  <c r="W22" i="2"/>
  <c r="BD22" i="2"/>
  <c r="AG22" i="2"/>
  <c r="BO22" i="2"/>
  <c r="BE22" i="2"/>
  <c r="AC22" i="2"/>
  <c r="BL22" i="2"/>
  <c r="BK22" i="2"/>
  <c r="AZ22" i="2"/>
  <c r="X22" i="2"/>
  <c r="AP22" i="2"/>
  <c r="AL22" i="2"/>
  <c r="E22" i="2"/>
  <c r="R22" i="2"/>
  <c r="AN22" i="2"/>
  <c r="H22" i="2"/>
  <c r="Y22" i="2"/>
  <c r="P22" i="2"/>
  <c r="BS22" i="2"/>
  <c r="BJ22" i="2"/>
  <c r="AH22" i="2"/>
  <c r="Z22" i="2"/>
  <c r="AY22" i="2"/>
  <c r="AJ22" i="2"/>
  <c r="BR22" i="2"/>
  <c r="AK22" i="2"/>
  <c r="AU22" i="2"/>
  <c r="AD22" i="2"/>
  <c r="BM22" i="2"/>
  <c r="AF22" i="2"/>
  <c r="D22" i="2"/>
  <c r="J22" i="2"/>
  <c r="K22" i="2"/>
  <c r="AV22" i="2"/>
  <c r="L22" i="2"/>
  <c r="BC22" i="2"/>
  <c r="AO22" i="2"/>
  <c r="BX22" i="2"/>
  <c r="BF22" i="2"/>
  <c r="AI22" i="2"/>
  <c r="BT22" i="2"/>
  <c r="AW22" i="2"/>
  <c r="V22" i="2"/>
  <c r="AE22" i="2"/>
  <c r="BN22" i="2"/>
  <c r="AR22" i="2"/>
  <c r="AA22" i="2"/>
  <c r="F22" i="2"/>
  <c r="AQ22" i="2"/>
  <c r="BW22" i="2"/>
  <c r="N22" i="2"/>
  <c r="M22" i="2"/>
  <c r="CC22" i="2"/>
  <c r="S22" i="2"/>
  <c r="U22" i="2"/>
  <c r="G22" i="2"/>
  <c r="AT22" i="2"/>
  <c r="BT23" i="2"/>
  <c r="BJ23" i="2"/>
  <c r="AH23" i="2"/>
  <c r="AE23" i="2"/>
  <c r="AZ23" i="2"/>
  <c r="AI23" i="2"/>
  <c r="BR23" i="2"/>
  <c r="AP23" i="2"/>
  <c r="AV23" i="2"/>
  <c r="AD23" i="2"/>
  <c r="BM23" i="2"/>
  <c r="AK23" i="2"/>
  <c r="Z23" i="2"/>
  <c r="O23" i="2"/>
  <c r="N23" i="2"/>
  <c r="V23" i="2"/>
  <c r="K23" i="2"/>
  <c r="AB23" i="2"/>
  <c r="E23" i="2"/>
  <c r="BO23" i="2"/>
  <c r="BD23" i="2"/>
  <c r="AO23" i="2"/>
  <c r="BW23" i="2"/>
  <c r="BK23" i="2"/>
  <c r="AJ23" i="2"/>
  <c r="BS23" i="2"/>
  <c r="AW23" i="2"/>
  <c r="CA23" i="2"/>
  <c r="AF23" i="2"/>
  <c r="BN23" i="2"/>
  <c r="AQ23" i="2"/>
  <c r="BH23" i="2"/>
  <c r="R23" i="2"/>
  <c r="BX23" i="2"/>
  <c r="AR23" i="2"/>
  <c r="F23" i="2"/>
  <c r="H23" i="2"/>
  <c r="BI23" i="2"/>
  <c r="J23" i="2"/>
  <c r="BA23" i="2"/>
  <c r="AN23" i="2"/>
  <c r="BY23" i="2"/>
  <c r="BB23" i="2"/>
  <c r="BF23" i="2"/>
  <c r="BZ23" i="2"/>
  <c r="AX23" i="2"/>
  <c r="AA23" i="2"/>
  <c r="CB23" i="2"/>
  <c r="BU23" i="2"/>
  <c r="AS23" i="2"/>
  <c r="BV23" i="2"/>
  <c r="AT23" i="2"/>
  <c r="I23" i="2"/>
  <c r="AM23" i="2"/>
  <c r="Y23" i="2"/>
  <c r="P23" i="2"/>
  <c r="G23" i="2"/>
  <c r="AL23" i="2"/>
  <c r="D23" i="2"/>
  <c r="X23" i="2"/>
  <c r="BC23" i="2"/>
  <c r="AG23" i="2"/>
  <c r="BP23" i="2"/>
  <c r="BE23" i="2"/>
  <c r="AC23" i="2"/>
  <c r="BQ23" i="2"/>
  <c r="BL23" i="2"/>
  <c r="AY23" i="2"/>
  <c r="W23" i="2"/>
  <c r="AU23" i="2"/>
  <c r="CC23" i="2"/>
  <c r="Q23" i="2"/>
  <c r="S23" i="2"/>
  <c r="BG23" i="2"/>
  <c r="T23" i="2"/>
  <c r="U23" i="2"/>
  <c r="M23" i="2"/>
  <c r="L23" i="2"/>
  <c r="AM19" i="2"/>
  <c r="AH19" i="2"/>
  <c r="AC19" i="2"/>
  <c r="AZ19" i="2"/>
  <c r="BZ19" i="2"/>
  <c r="BU19" i="2"/>
  <c r="AF19" i="2"/>
  <c r="CA19" i="2"/>
  <c r="BV19" i="2"/>
  <c r="BQ19" i="2"/>
  <c r="BX19" i="2"/>
  <c r="BR19" i="2"/>
  <c r="H19" i="2"/>
  <c r="R19" i="2"/>
  <c r="BD19" i="2"/>
  <c r="L19" i="2"/>
  <c r="AQ19" i="2"/>
  <c r="M19" i="2"/>
  <c r="G19" i="2"/>
  <c r="W19" i="2"/>
  <c r="BY19" i="2"/>
  <c r="AV19" i="2"/>
  <c r="BO19" i="2"/>
  <c r="BJ19" i="2"/>
  <c r="BE19" i="2"/>
  <c r="AB19" i="2"/>
  <c r="BK19" i="2"/>
  <c r="BF19" i="2"/>
  <c r="BA19" i="2"/>
  <c r="BT19" i="2"/>
  <c r="BM19" i="2"/>
  <c r="N19" i="2"/>
  <c r="BG19" i="2"/>
  <c r="D19" i="2"/>
  <c r="P19" i="2"/>
  <c r="AL19" i="2"/>
  <c r="I19" i="2"/>
  <c r="CC19" i="2"/>
  <c r="BS19" i="2"/>
  <c r="BN19" i="2"/>
  <c r="BI19" i="2"/>
  <c r="AR19" i="2"/>
  <c r="AY19" i="2"/>
  <c r="AT19" i="2"/>
  <c r="AO19" i="2"/>
  <c r="X19" i="2"/>
  <c r="AU19" i="2"/>
  <c r="AP19" i="2"/>
  <c r="AK19" i="2"/>
  <c r="AJ19" i="2"/>
  <c r="BH19" i="2"/>
  <c r="K19" i="2"/>
  <c r="BB19" i="2"/>
  <c r="F19" i="2"/>
  <c r="J19" i="2"/>
  <c r="AG19" i="2"/>
  <c r="Q19" i="2"/>
  <c r="BL19" i="2"/>
  <c r="BC19" i="2"/>
  <c r="AX19" i="2"/>
  <c r="AS19" i="2"/>
  <c r="AN19" i="2"/>
  <c r="AI19" i="2"/>
  <c r="AD19" i="2"/>
  <c r="Y19" i="2"/>
  <c r="BP19" i="2"/>
  <c r="AE19" i="2"/>
  <c r="Z19" i="2"/>
  <c r="CB19" i="2"/>
  <c r="BW19" i="2"/>
  <c r="O19" i="2"/>
  <c r="AA19" i="2"/>
  <c r="AW19" i="2"/>
  <c r="S19" i="2"/>
  <c r="U19" i="2"/>
  <c r="V19" i="2"/>
  <c r="E19" i="2"/>
  <c r="T19" i="2"/>
  <c r="AS24" i="2"/>
  <c r="X24" i="2"/>
  <c r="BG24" i="2"/>
  <c r="BK24" i="2"/>
  <c r="P24" i="2"/>
  <c r="W24" i="2"/>
  <c r="BE24" i="2"/>
  <c r="AN24" i="2"/>
  <c r="BW24" i="2"/>
  <c r="BP24" i="2"/>
  <c r="M24" i="2"/>
  <c r="BT24" i="2"/>
  <c r="F24" i="2"/>
  <c r="BZ24" i="2"/>
  <c r="AX24" i="2"/>
  <c r="AA24" i="2"/>
  <c r="R24" i="2"/>
  <c r="D24" i="2"/>
  <c r="BL24" i="2"/>
  <c r="AC24" i="2"/>
  <c r="BH24" i="2"/>
  <c r="AL24" i="2"/>
  <c r="S24" i="2"/>
  <c r="CC24" i="2"/>
  <c r="CA24" i="2"/>
  <c r="AO24" i="2"/>
  <c r="BX24" i="2"/>
  <c r="BB24" i="2"/>
  <c r="V24" i="2"/>
  <c r="E24" i="2"/>
  <c r="AR24" i="2"/>
  <c r="BQ24" i="2"/>
  <c r="BD24" i="2"/>
  <c r="AB24" i="2"/>
  <c r="BV24" i="2"/>
  <c r="O24" i="2"/>
  <c r="AW24" i="2"/>
  <c r="Z24" i="2"/>
  <c r="BY24" i="2"/>
  <c r="BO24" i="2"/>
  <c r="AM24" i="2"/>
  <c r="BF24" i="2"/>
  <c r="N24" i="2"/>
  <c r="AG24" i="2"/>
  <c r="H24" i="2"/>
  <c r="Y24" i="2"/>
  <c r="BC24" i="2"/>
  <c r="AF24" i="2"/>
  <c r="G24" i="2"/>
  <c r="T24" i="2"/>
  <c r="AQ24" i="2"/>
  <c r="BA24" i="2"/>
  <c r="AI24" i="2"/>
  <c r="BR24" i="2"/>
  <c r="AU24" i="2"/>
  <c r="K24" i="2"/>
  <c r="AY24" i="2"/>
  <c r="I24" i="2"/>
  <c r="BI24" i="2"/>
  <c r="AT24" i="2"/>
  <c r="CB24" i="2"/>
  <c r="AE24" i="2"/>
  <c r="L24" i="2"/>
  <c r="AD24" i="2"/>
  <c r="BU24" i="2"/>
  <c r="BJ24" i="2"/>
  <c r="AH24" i="2"/>
  <c r="AJ24" i="2"/>
  <c r="Q24" i="2"/>
  <c r="BM24" i="2"/>
  <c r="AZ24" i="2"/>
  <c r="AK24" i="2"/>
  <c r="BS24" i="2"/>
  <c r="AV24" i="2"/>
  <c r="AP24" i="2"/>
  <c r="J24" i="2"/>
  <c r="BN24" i="2"/>
  <c r="U24" i="2"/>
  <c r="CB9" i="2"/>
  <c r="BL9" i="2"/>
  <c r="AV9" i="2"/>
  <c r="AF9" i="2"/>
  <c r="BW9" i="2"/>
  <c r="BG9" i="2"/>
  <c r="AQ9" i="2"/>
  <c r="AA9" i="2"/>
  <c r="BR9" i="2"/>
  <c r="BB9" i="2"/>
  <c r="AL9" i="2"/>
  <c r="BY9" i="2"/>
  <c r="BM9" i="2"/>
  <c r="AO9" i="2"/>
  <c r="BA9" i="2"/>
  <c r="BX9" i="2"/>
  <c r="BH9" i="2"/>
  <c r="AR9" i="2"/>
  <c r="AB9" i="2"/>
  <c r="BS9" i="2"/>
  <c r="BC9" i="2"/>
  <c r="AM9" i="2"/>
  <c r="W9" i="2"/>
  <c r="BN9" i="2"/>
  <c r="AX9" i="2"/>
  <c r="AH9" i="2"/>
  <c r="BI9" i="2"/>
  <c r="AG9" i="2"/>
  <c r="Y9" i="2"/>
  <c r="AK9" i="2"/>
  <c r="BT9" i="2"/>
  <c r="BD9" i="2"/>
  <c r="AN9" i="2"/>
  <c r="X9" i="2"/>
  <c r="BO9" i="2"/>
  <c r="AY9" i="2"/>
  <c r="AI9" i="2"/>
  <c r="BZ9" i="2"/>
  <c r="BJ9" i="2"/>
  <c r="AT9" i="2"/>
  <c r="AD9" i="2"/>
  <c r="AS9" i="2"/>
  <c r="BU9" i="2"/>
  <c r="CC9" i="2"/>
  <c r="V9" i="2"/>
  <c r="BP9" i="2"/>
  <c r="AZ9" i="2"/>
  <c r="AJ9" i="2"/>
  <c r="CA9" i="2"/>
  <c r="BK9" i="2"/>
  <c r="AU9" i="2"/>
  <c r="AE9" i="2"/>
  <c r="BV9" i="2"/>
  <c r="BF9" i="2"/>
  <c r="AP9" i="2"/>
  <c r="Z9" i="2"/>
  <c r="AC9" i="2"/>
  <c r="BE9" i="2"/>
  <c r="BQ9" i="2"/>
  <c r="AW9" i="2"/>
  <c r="G9" i="2"/>
  <c r="D9" i="2"/>
  <c r="K9" i="2"/>
  <c r="F9" i="2"/>
  <c r="L9" i="2"/>
  <c r="R9" i="2"/>
  <c r="U9" i="2"/>
  <c r="H9" i="2"/>
  <c r="O9" i="2"/>
  <c r="E9" i="2"/>
  <c r="S9" i="2"/>
  <c r="M9" i="2"/>
  <c r="P9" i="2"/>
  <c r="N9" i="2"/>
  <c r="Q9" i="2"/>
  <c r="I9" i="2"/>
  <c r="T9" i="2"/>
  <c r="J9" i="2"/>
  <c r="BT15" i="2"/>
  <c r="BD15" i="2"/>
  <c r="AN15" i="2"/>
  <c r="X15" i="2"/>
  <c r="BO15" i="2"/>
  <c r="AY15" i="2"/>
  <c r="AI15" i="2"/>
  <c r="BZ15" i="2"/>
  <c r="BJ15" i="2"/>
  <c r="AT15" i="2"/>
  <c r="AD15" i="2"/>
  <c r="AS15" i="2"/>
  <c r="AO15" i="2"/>
  <c r="AG15" i="2"/>
  <c r="CC15" i="2"/>
  <c r="H15" i="2"/>
  <c r="G15" i="2"/>
  <c r="O15" i="2"/>
  <c r="T15" i="2"/>
  <c r="M15" i="2"/>
  <c r="BP15" i="2"/>
  <c r="AZ15" i="2"/>
  <c r="AJ15" i="2"/>
  <c r="CA15" i="2"/>
  <c r="BK15" i="2"/>
  <c r="AU15" i="2"/>
  <c r="AE15" i="2"/>
  <c r="BV15" i="2"/>
  <c r="BF15" i="2"/>
  <c r="AP15" i="2"/>
  <c r="Z15" i="2"/>
  <c r="AC15" i="2"/>
  <c r="Y15" i="2"/>
  <c r="BQ15" i="2"/>
  <c r="AW15" i="2"/>
  <c r="S15" i="2"/>
  <c r="J15" i="2"/>
  <c r="U15" i="2"/>
  <c r="K15" i="2"/>
  <c r="F15" i="2"/>
  <c r="CB15" i="2"/>
  <c r="BL15" i="2"/>
  <c r="AV15" i="2"/>
  <c r="AF15" i="2"/>
  <c r="BW15" i="2"/>
  <c r="BG15" i="2"/>
  <c r="AQ15" i="2"/>
  <c r="AA15" i="2"/>
  <c r="BR15" i="2"/>
  <c r="BB15" i="2"/>
  <c r="AL15" i="2"/>
  <c r="BY15" i="2"/>
  <c r="BU15" i="2"/>
  <c r="V15" i="2"/>
  <c r="BA15" i="2"/>
  <c r="Q15" i="2"/>
  <c r="L15" i="2"/>
  <c r="P15" i="2"/>
  <c r="R15" i="2"/>
  <c r="BX15" i="2"/>
  <c r="BH15" i="2"/>
  <c r="AR15" i="2"/>
  <c r="AB15" i="2"/>
  <c r="BS15" i="2"/>
  <c r="BC15" i="2"/>
  <c r="AM15" i="2"/>
  <c r="W15" i="2"/>
  <c r="BN15" i="2"/>
  <c r="AX15" i="2"/>
  <c r="AH15" i="2"/>
  <c r="BI15" i="2"/>
  <c r="BE15" i="2"/>
  <c r="BM15" i="2"/>
  <c r="AK15" i="2"/>
  <c r="N15" i="2"/>
  <c r="E15" i="2"/>
  <c r="I15" i="2"/>
  <c r="D15" i="2"/>
  <c r="BZ11" i="2"/>
  <c r="BJ11" i="2"/>
  <c r="AT11" i="2"/>
  <c r="AD11" i="2"/>
  <c r="BU11" i="2"/>
  <c r="BE11" i="2"/>
  <c r="AO11" i="2"/>
  <c r="Y11" i="2"/>
  <c r="BT11" i="2"/>
  <c r="BV11" i="2"/>
  <c r="BF11" i="2"/>
  <c r="AP11" i="2"/>
  <c r="Z11" i="2"/>
  <c r="BQ11" i="2"/>
  <c r="BA11" i="2"/>
  <c r="AK11" i="2"/>
  <c r="V11" i="2"/>
  <c r="BP11" i="2"/>
  <c r="AZ11" i="2"/>
  <c r="AJ11" i="2"/>
  <c r="BS11" i="2"/>
  <c r="BG11" i="2"/>
  <c r="AI11" i="2"/>
  <c r="BK11" i="2"/>
  <c r="BR11" i="2"/>
  <c r="BB11" i="2"/>
  <c r="AL11" i="2"/>
  <c r="CC11" i="2"/>
  <c r="BM11" i="2"/>
  <c r="AW11" i="2"/>
  <c r="AG11" i="2"/>
  <c r="CB11" i="2"/>
  <c r="BL11" i="2"/>
  <c r="AV11" i="2"/>
  <c r="AF11" i="2"/>
  <c r="BC11" i="2"/>
  <c r="AA11" i="2"/>
  <c r="BW11" i="2"/>
  <c r="BN11" i="2"/>
  <c r="AX11" i="2"/>
  <c r="AH11" i="2"/>
  <c r="BY11" i="2"/>
  <c r="BI11" i="2"/>
  <c r="AS11" i="2"/>
  <c r="AC11" i="2"/>
  <c r="BX11" i="2"/>
  <c r="BH11" i="2"/>
  <c r="AN11" i="2"/>
  <c r="W11" i="2"/>
  <c r="CA11" i="2"/>
  <c r="AB11" i="2"/>
  <c r="BO11" i="2"/>
  <c r="AU11" i="2"/>
  <c r="BD11" i="2"/>
  <c r="X11" i="2"/>
  <c r="AY11" i="2"/>
  <c r="AE11" i="2"/>
  <c r="AR11" i="2"/>
  <c r="AM11" i="2"/>
  <c r="AQ11" i="2"/>
  <c r="M11" i="2"/>
  <c r="L11" i="2"/>
  <c r="P11" i="2"/>
  <c r="Q11" i="2"/>
  <c r="G11" i="2"/>
  <c r="T11" i="2"/>
  <c r="O11" i="2"/>
  <c r="N11" i="2"/>
  <c r="I11" i="2"/>
  <c r="J11" i="2"/>
  <c r="E11" i="2"/>
  <c r="R11" i="2"/>
  <c r="U11" i="2"/>
  <c r="D11" i="2"/>
  <c r="S11" i="2"/>
  <c r="H11" i="2"/>
  <c r="K11" i="2"/>
  <c r="F11" i="2"/>
  <c r="BU10" i="2"/>
  <c r="BE10" i="2"/>
  <c r="AO10" i="2"/>
  <c r="Y10" i="2"/>
  <c r="BP10" i="2"/>
  <c r="AZ10" i="2"/>
  <c r="AJ10" i="2"/>
  <c r="CA10" i="2"/>
  <c r="BK10" i="2"/>
  <c r="AU10" i="2"/>
  <c r="AE10" i="2"/>
  <c r="BN10" i="2"/>
  <c r="BZ10" i="2"/>
  <c r="BR10" i="2"/>
  <c r="Z10" i="2"/>
  <c r="P10" i="2"/>
  <c r="H10" i="2"/>
  <c r="N10" i="2"/>
  <c r="J10" i="2"/>
  <c r="BQ10" i="2"/>
  <c r="BA10" i="2"/>
  <c r="AK10" i="2"/>
  <c r="CB10" i="2"/>
  <c r="BL10" i="2"/>
  <c r="AV10" i="2"/>
  <c r="AF10" i="2"/>
  <c r="BW10" i="2"/>
  <c r="BG10" i="2"/>
  <c r="AQ10" i="2"/>
  <c r="AA10" i="2"/>
  <c r="AX10" i="2"/>
  <c r="BJ10" i="2"/>
  <c r="BV10" i="2"/>
  <c r="AL10" i="2"/>
  <c r="Q10" i="2"/>
  <c r="S10" i="2"/>
  <c r="K10" i="2"/>
  <c r="M10" i="2"/>
  <c r="CC10" i="2"/>
  <c r="BM10" i="2"/>
  <c r="AW10" i="2"/>
  <c r="AG10" i="2"/>
  <c r="BX10" i="2"/>
  <c r="BH10" i="2"/>
  <c r="AR10" i="2"/>
  <c r="AB10" i="2"/>
  <c r="BS10" i="2"/>
  <c r="BC10" i="2"/>
  <c r="AM10" i="2"/>
  <c r="W10" i="2"/>
  <c r="AH10" i="2"/>
  <c r="AT10" i="2"/>
  <c r="BF10" i="2"/>
  <c r="G10" i="2"/>
  <c r="E10" i="2"/>
  <c r="F10" i="2"/>
  <c r="D10" i="2"/>
  <c r="I10" i="2"/>
  <c r="BY10" i="2"/>
  <c r="BI10" i="2"/>
  <c r="AS10" i="2"/>
  <c r="AC10" i="2"/>
  <c r="BT10" i="2"/>
  <c r="BD10" i="2"/>
  <c r="AN10" i="2"/>
  <c r="X10" i="2"/>
  <c r="BO10" i="2"/>
  <c r="AY10" i="2"/>
  <c r="AI10" i="2"/>
  <c r="V10" i="2"/>
  <c r="BB10" i="2"/>
  <c r="AD10" i="2"/>
  <c r="AP10" i="2"/>
  <c r="R10" i="2"/>
  <c r="O10" i="2"/>
  <c r="L10" i="2"/>
  <c r="T10" i="2"/>
  <c r="U10" i="2"/>
  <c r="BU20" i="2"/>
  <c r="AU20" i="2"/>
  <c r="AA20" i="2"/>
  <c r="AK20" i="2"/>
  <c r="BJ20" i="2"/>
  <c r="CC20" i="2"/>
  <c r="BF20" i="2"/>
  <c r="AI20" i="2"/>
  <c r="AX20" i="2"/>
  <c r="V20" i="2"/>
  <c r="L20" i="2"/>
  <c r="BG20" i="2"/>
  <c r="BY20" i="2"/>
  <c r="Z20" i="2"/>
  <c r="K20" i="2"/>
  <c r="S20" i="2"/>
  <c r="H20" i="2"/>
  <c r="AM20" i="2"/>
  <c r="BL20" i="2"/>
  <c r="E20" i="2"/>
  <c r="BE20" i="2"/>
  <c r="AB20" i="2"/>
  <c r="BN20" i="2"/>
  <c r="BK20" i="2"/>
  <c r="AN20" i="2"/>
  <c r="BM20" i="2"/>
  <c r="AJ20" i="2"/>
  <c r="BX20" i="2"/>
  <c r="AD20" i="2"/>
  <c r="N20" i="2"/>
  <c r="P20" i="2"/>
  <c r="AQ20" i="2"/>
  <c r="AZ20" i="2"/>
  <c r="BW20" i="2"/>
  <c r="I20" i="2"/>
  <c r="T20" i="2"/>
  <c r="BI20" i="2"/>
  <c r="CB20" i="2"/>
  <c r="Q20" i="2"/>
  <c r="D20" i="2"/>
  <c r="AO20" i="2"/>
  <c r="BO20" i="2"/>
  <c r="BQ20" i="2"/>
  <c r="AP20" i="2"/>
  <c r="W20" i="2"/>
  <c r="AW20" i="2"/>
  <c r="BZ20" i="2"/>
  <c r="BV20" i="2"/>
  <c r="AL20" i="2"/>
  <c r="U20" i="2"/>
  <c r="F20" i="2"/>
  <c r="G20" i="2"/>
  <c r="AE20" i="2"/>
  <c r="AV20" i="2"/>
  <c r="M20" i="2"/>
  <c r="BT20" i="2"/>
  <c r="AF20" i="2"/>
  <c r="BB20" i="2"/>
  <c r="BC20" i="2"/>
  <c r="BP20" i="2"/>
  <c r="AT20" i="2"/>
  <c r="BA20" i="2"/>
  <c r="X20" i="2"/>
  <c r="BH20" i="2"/>
  <c r="CA20" i="2"/>
  <c r="BD20" i="2"/>
  <c r="AY20" i="2"/>
  <c r="BR20" i="2"/>
  <c r="O20" i="2"/>
  <c r="AS20" i="2"/>
  <c r="J20" i="2"/>
  <c r="AR20" i="2"/>
  <c r="Y20" i="2"/>
  <c r="R20" i="2"/>
  <c r="AG20" i="2"/>
  <c r="BS20" i="2"/>
  <c r="AC20" i="2"/>
  <c r="AH20" i="2"/>
  <c r="CA14" i="2"/>
  <c r="BK14" i="2"/>
  <c r="AU14" i="2"/>
  <c r="BN14" i="2"/>
  <c r="AX14" i="2"/>
  <c r="BU14" i="2"/>
  <c r="BE14" i="2"/>
  <c r="AS14" i="2"/>
  <c r="AC14" i="2"/>
  <c r="AZ14" i="2"/>
  <c r="AF14" i="2"/>
  <c r="AP14" i="2"/>
  <c r="AW14" i="2"/>
  <c r="AE14" i="2"/>
  <c r="BX14" i="2"/>
  <c r="BW14" i="2"/>
  <c r="BG14" i="2"/>
  <c r="BZ14" i="2"/>
  <c r="BJ14" i="2"/>
  <c r="AT14" i="2"/>
  <c r="BQ14" i="2"/>
  <c r="BA14" i="2"/>
  <c r="AO14" i="2"/>
  <c r="Y14" i="2"/>
  <c r="AR14" i="2"/>
  <c r="AB14" i="2"/>
  <c r="Z14" i="2"/>
  <c r="AQ14" i="2"/>
  <c r="AA14" i="2"/>
  <c r="AV14" i="2"/>
  <c r="BS14" i="2"/>
  <c r="BC14" i="2"/>
  <c r="BV14" i="2"/>
  <c r="BF14" i="2"/>
  <c r="CC14" i="2"/>
  <c r="BM14" i="2"/>
  <c r="BT14" i="2"/>
  <c r="AK14" i="2"/>
  <c r="AH14" i="2"/>
  <c r="AN14" i="2"/>
  <c r="X14" i="2"/>
  <c r="CB14" i="2"/>
  <c r="AM14" i="2"/>
  <c r="W14" i="2"/>
  <c r="AL14" i="2"/>
  <c r="BO14" i="2"/>
  <c r="AY14" i="2"/>
  <c r="BR14" i="2"/>
  <c r="BB14" i="2"/>
  <c r="BY14" i="2"/>
  <c r="BI14" i="2"/>
  <c r="BD14" i="2"/>
  <c r="AG14" i="2"/>
  <c r="BP14" i="2"/>
  <c r="AJ14" i="2"/>
  <c r="BH14" i="2"/>
  <c r="BL14" i="2"/>
  <c r="AI14" i="2"/>
  <c r="V14" i="2"/>
  <c r="AD14" i="2"/>
  <c r="M14" i="2"/>
  <c r="S14" i="2"/>
  <c r="D14" i="2"/>
  <c r="J14" i="2"/>
  <c r="K14" i="2"/>
  <c r="G14" i="2"/>
  <c r="U14" i="2"/>
  <c r="N14" i="2"/>
  <c r="F14" i="2"/>
  <c r="T14" i="2"/>
  <c r="P14" i="2"/>
  <c r="R14" i="2"/>
  <c r="I14" i="2"/>
  <c r="E14" i="2"/>
  <c r="Q14" i="2"/>
  <c r="L14" i="2"/>
  <c r="O14" i="2"/>
  <c r="H14" i="2"/>
  <c r="BS8" i="2"/>
  <c r="BC8" i="2"/>
  <c r="AM8" i="2"/>
  <c r="W8" i="2"/>
  <c r="BR8" i="2"/>
  <c r="BB8" i="2"/>
  <c r="AL8" i="2"/>
  <c r="CC8" i="2"/>
  <c r="BM8" i="2"/>
  <c r="AW8" i="2"/>
  <c r="AG8" i="2"/>
  <c r="BD8" i="2"/>
  <c r="BP8" i="2"/>
  <c r="AR8" i="2"/>
  <c r="AF8" i="2"/>
  <c r="BO8" i="2"/>
  <c r="AY8" i="2"/>
  <c r="AI8" i="2"/>
  <c r="V8" i="2"/>
  <c r="BN8" i="2"/>
  <c r="AX8" i="2"/>
  <c r="AH8" i="2"/>
  <c r="BY8" i="2"/>
  <c r="BI8" i="2"/>
  <c r="AS8" i="2"/>
  <c r="AC8" i="2"/>
  <c r="AN8" i="2"/>
  <c r="AZ8" i="2"/>
  <c r="CB8" i="2"/>
  <c r="BH8" i="2"/>
  <c r="J8" i="2"/>
  <c r="T8" i="2"/>
  <c r="G8" i="2"/>
  <c r="CA8" i="2"/>
  <c r="BK8" i="2"/>
  <c r="AU8" i="2"/>
  <c r="AE8" i="2"/>
  <c r="BZ8" i="2"/>
  <c r="BJ8" i="2"/>
  <c r="AT8" i="2"/>
  <c r="AD8" i="2"/>
  <c r="BU8" i="2"/>
  <c r="BE8" i="2"/>
  <c r="AO8" i="2"/>
  <c r="Y8" i="2"/>
  <c r="X8" i="2"/>
  <c r="AJ8" i="2"/>
  <c r="BL8" i="2"/>
  <c r="BW8" i="2"/>
  <c r="BG8" i="2"/>
  <c r="AQ8" i="2"/>
  <c r="AA8" i="2"/>
  <c r="BV8" i="2"/>
  <c r="BF8" i="2"/>
  <c r="AP8" i="2"/>
  <c r="Z8" i="2"/>
  <c r="BQ8" i="2"/>
  <c r="BA8" i="2"/>
  <c r="AK8" i="2"/>
  <c r="BT8" i="2"/>
  <c r="AB8" i="2"/>
  <c r="BX8" i="2"/>
  <c r="AV8" i="2"/>
  <c r="Q8" i="2"/>
  <c r="F8" i="2"/>
  <c r="S8" i="2"/>
  <c r="M8" i="2"/>
  <c r="U8" i="2"/>
  <c r="E8" i="2"/>
  <c r="I8" i="2"/>
  <c r="R8" i="2"/>
  <c r="D8" i="2"/>
  <c r="N8" i="2"/>
  <c r="O8" i="2"/>
  <c r="H8" i="2"/>
  <c r="P8" i="2"/>
  <c r="L8" i="2"/>
  <c r="K8" i="2"/>
  <c r="BC18" i="2"/>
  <c r="AP18" i="2"/>
  <c r="Y18" i="2"/>
  <c r="Q18" i="2"/>
  <c r="BZ18" i="2"/>
  <c r="AB18" i="2"/>
  <c r="CB18" i="2"/>
  <c r="BS18" i="2"/>
  <c r="BA18" i="2"/>
  <c r="AF18" i="2"/>
  <c r="I18" i="2"/>
  <c r="AQ18" i="2"/>
  <c r="CC18" i="2"/>
  <c r="AE18" i="2"/>
  <c r="BM18" i="2"/>
  <c r="AN18" i="2"/>
  <c r="H18" i="2"/>
  <c r="BG18" i="2"/>
  <c r="X18" i="2"/>
  <c r="Z18" i="2"/>
  <c r="L18" i="2"/>
  <c r="BO18" i="2"/>
  <c r="AK18" i="2"/>
  <c r="AT18" i="2"/>
  <c r="BN18" i="2"/>
  <c r="BJ18" i="2"/>
  <c r="G18" i="2"/>
  <c r="AG18" i="2"/>
  <c r="BI18" i="2"/>
  <c r="AM18" i="2"/>
  <c r="P18" i="2"/>
  <c r="V18" i="2"/>
  <c r="BX18" i="2"/>
  <c r="BP18" i="2"/>
  <c r="K18" i="2"/>
  <c r="BK18" i="2"/>
  <c r="M18" i="2"/>
  <c r="BU18" i="2"/>
  <c r="W18" i="2"/>
  <c r="BE18" i="2"/>
  <c r="BL18" i="2"/>
  <c r="T18" i="2"/>
  <c r="AA18" i="2"/>
  <c r="D18" i="2"/>
  <c r="AY18" i="2"/>
  <c r="AL18" i="2"/>
  <c r="BH18" i="2"/>
  <c r="AC18" i="2"/>
  <c r="AV18" i="2"/>
  <c r="BW18" i="2"/>
  <c r="BF18" i="2"/>
  <c r="AO18" i="2"/>
  <c r="AJ18" i="2"/>
  <c r="F18" i="2"/>
  <c r="AD18" i="2"/>
  <c r="BR18" i="2"/>
  <c r="AI18" i="2"/>
  <c r="BQ18" i="2"/>
  <c r="BD18" i="2"/>
  <c r="E18" i="2"/>
  <c r="BY18" i="2"/>
  <c r="S18" i="2"/>
  <c r="AU18" i="2"/>
  <c r="AH18" i="2"/>
  <c r="AR18" i="2"/>
  <c r="R18" i="2"/>
  <c r="U18" i="2"/>
  <c r="AS18" i="2"/>
  <c r="BV18" i="2"/>
  <c r="CA18" i="2"/>
  <c r="BT18" i="2"/>
  <c r="BB18" i="2"/>
  <c r="J18" i="2"/>
  <c r="AW18" i="2"/>
  <c r="AZ18" i="2"/>
  <c r="N18" i="2"/>
  <c r="AX18" i="2"/>
  <c r="O18" i="2"/>
  <c r="BZ17" i="2"/>
  <c r="BJ17" i="2"/>
  <c r="AT17" i="2"/>
  <c r="AD17" i="2"/>
  <c r="BU17" i="2"/>
  <c r="BE17" i="2"/>
  <c r="AO17" i="2"/>
  <c r="Y17" i="2"/>
  <c r="BP17" i="2"/>
  <c r="AZ17" i="2"/>
  <c r="AJ17" i="2"/>
  <c r="BS17" i="2"/>
  <c r="BO17" i="2"/>
  <c r="AA17" i="2"/>
  <c r="AE17" i="2"/>
  <c r="BV17" i="2"/>
  <c r="BF17" i="2"/>
  <c r="AP17" i="2"/>
  <c r="Z17" i="2"/>
  <c r="BQ17" i="2"/>
  <c r="BA17" i="2"/>
  <c r="AK17" i="2"/>
  <c r="CB17" i="2"/>
  <c r="BL17" i="2"/>
  <c r="AV17" i="2"/>
  <c r="AF17" i="2"/>
  <c r="BC17" i="2"/>
  <c r="AY17" i="2"/>
  <c r="CA17" i="2"/>
  <c r="BW17" i="2"/>
  <c r="BR17" i="2"/>
  <c r="BB17" i="2"/>
  <c r="AL17" i="2"/>
  <c r="CC17" i="2"/>
  <c r="BM17" i="2"/>
  <c r="AW17" i="2"/>
  <c r="AG17" i="2"/>
  <c r="BX17" i="2"/>
  <c r="BH17" i="2"/>
  <c r="AR17" i="2"/>
  <c r="AB17" i="2"/>
  <c r="AM17" i="2"/>
  <c r="AI17" i="2"/>
  <c r="BK17" i="2"/>
  <c r="AQ17" i="2"/>
  <c r="BN17" i="2"/>
  <c r="AX17" i="2"/>
  <c r="AH17" i="2"/>
  <c r="BY17" i="2"/>
  <c r="BI17" i="2"/>
  <c r="AS17" i="2"/>
  <c r="AC17" i="2"/>
  <c r="BT17" i="2"/>
  <c r="BD17" i="2"/>
  <c r="AN17" i="2"/>
  <c r="X17" i="2"/>
  <c r="W17" i="2"/>
  <c r="BG17" i="2"/>
  <c r="AU17" i="2"/>
  <c r="V17" i="2"/>
  <c r="G17" i="2"/>
  <c r="J17" i="2"/>
  <c r="M17" i="2"/>
  <c r="P17" i="2"/>
  <c r="L17" i="2"/>
  <c r="R17" i="2"/>
  <c r="I17" i="2"/>
  <c r="T17" i="2"/>
  <c r="D17" i="2"/>
  <c r="E17" i="2"/>
  <c r="K17" i="2"/>
  <c r="F17" i="2"/>
  <c r="U17" i="2"/>
  <c r="N17" i="2"/>
  <c r="Q17" i="2"/>
  <c r="H17" i="2"/>
  <c r="O17" i="2"/>
  <c r="S17" i="2"/>
  <c r="BY16" i="2"/>
  <c r="BI16" i="2"/>
  <c r="AS16" i="2"/>
  <c r="AC16" i="2"/>
  <c r="BT16" i="2"/>
  <c r="BD16" i="2"/>
  <c r="AN16" i="2"/>
  <c r="X16" i="2"/>
  <c r="BO16" i="2"/>
  <c r="BU16" i="2"/>
  <c r="BA16" i="2"/>
  <c r="AG16" i="2"/>
  <c r="BP16" i="2"/>
  <c r="AV16" i="2"/>
  <c r="AB16" i="2"/>
  <c r="BK16" i="2"/>
  <c r="AU16" i="2"/>
  <c r="AE16" i="2"/>
  <c r="AX16" i="2"/>
  <c r="BJ16" i="2"/>
  <c r="AL16" i="2"/>
  <c r="Z16" i="2"/>
  <c r="BQ16" i="2"/>
  <c r="AW16" i="2"/>
  <c r="Y16" i="2"/>
  <c r="BL16" i="2"/>
  <c r="AR16" i="2"/>
  <c r="CA16" i="2"/>
  <c r="BG16" i="2"/>
  <c r="AQ16" i="2"/>
  <c r="AA16" i="2"/>
  <c r="AH16" i="2"/>
  <c r="AT16" i="2"/>
  <c r="BV16" i="2"/>
  <c r="BR16" i="2"/>
  <c r="BM16" i="2"/>
  <c r="AO16" i="2"/>
  <c r="CB16" i="2"/>
  <c r="BH16" i="2"/>
  <c r="AJ16" i="2"/>
  <c r="BW16" i="2"/>
  <c r="BC16" i="2"/>
  <c r="AM16" i="2"/>
  <c r="W16" i="2"/>
  <c r="V16" i="2"/>
  <c r="AD16" i="2"/>
  <c r="BF16" i="2"/>
  <c r="CC16" i="2"/>
  <c r="BE16" i="2"/>
  <c r="AK16" i="2"/>
  <c r="BX16" i="2"/>
  <c r="AZ16" i="2"/>
  <c r="AF16" i="2"/>
  <c r="BS16" i="2"/>
  <c r="AY16" i="2"/>
  <c r="AI16" i="2"/>
  <c r="BN16" i="2"/>
  <c r="BZ16" i="2"/>
  <c r="BB16" i="2"/>
  <c r="AP16" i="2"/>
  <c r="N16" i="2"/>
  <c r="R16" i="2"/>
  <c r="O16" i="2"/>
  <c r="H16" i="2"/>
  <c r="P16" i="2"/>
  <c r="G16" i="2"/>
  <c r="D16" i="2"/>
  <c r="K16" i="2"/>
  <c r="Q16" i="2"/>
  <c r="L16" i="2"/>
  <c r="I16" i="2"/>
  <c r="M16" i="2"/>
  <c r="J16" i="2"/>
  <c r="E16" i="2"/>
  <c r="S16" i="2"/>
  <c r="T16" i="2"/>
  <c r="F16" i="2"/>
  <c r="U16" i="2"/>
  <c r="CA12" i="2"/>
  <c r="BK12" i="2"/>
  <c r="AU12" i="2"/>
  <c r="AE12" i="2"/>
  <c r="BX12" i="2"/>
  <c r="BN12" i="2"/>
  <c r="AX12" i="2"/>
  <c r="AH12" i="2"/>
  <c r="BY12" i="2"/>
  <c r="BI12" i="2"/>
  <c r="AS12" i="2"/>
  <c r="AC12" i="2"/>
  <c r="AR12" i="2"/>
  <c r="BD12" i="2"/>
  <c r="BP12" i="2"/>
  <c r="BW12" i="2"/>
  <c r="BG12" i="2"/>
  <c r="AQ12" i="2"/>
  <c r="AA12" i="2"/>
  <c r="BZ12" i="2"/>
  <c r="BJ12" i="2"/>
  <c r="AT12" i="2"/>
  <c r="AD12" i="2"/>
  <c r="BU12" i="2"/>
  <c r="BE12" i="2"/>
  <c r="AO12" i="2"/>
  <c r="Y12" i="2"/>
  <c r="AB12" i="2"/>
  <c r="AN12" i="2"/>
  <c r="AZ12" i="2"/>
  <c r="BS12" i="2"/>
  <c r="BC12" i="2"/>
  <c r="AM12" i="2"/>
  <c r="W12" i="2"/>
  <c r="BV12" i="2"/>
  <c r="BF12" i="2"/>
  <c r="AP12" i="2"/>
  <c r="Z12" i="2"/>
  <c r="BQ12" i="2"/>
  <c r="BA12" i="2"/>
  <c r="AK12" i="2"/>
  <c r="CB12" i="2"/>
  <c r="BL12" i="2"/>
  <c r="X12" i="2"/>
  <c r="AJ12" i="2"/>
  <c r="BO12" i="2"/>
  <c r="AY12" i="2"/>
  <c r="AI12" i="2"/>
  <c r="V12" i="2"/>
  <c r="BR12" i="2"/>
  <c r="BB12" i="2"/>
  <c r="AL12" i="2"/>
  <c r="CC12" i="2"/>
  <c r="BM12" i="2"/>
  <c r="AW12" i="2"/>
  <c r="AG12" i="2"/>
  <c r="BH12" i="2"/>
  <c r="BT12" i="2"/>
  <c r="AV12" i="2"/>
  <c r="AF12" i="2"/>
  <c r="L12" i="2"/>
  <c r="D12" i="2"/>
  <c r="U12" i="2"/>
  <c r="S12" i="2"/>
  <c r="M12" i="2"/>
  <c r="R12" i="2"/>
  <c r="O12" i="2"/>
  <c r="E12" i="2"/>
  <c r="G12" i="2"/>
  <c r="F12" i="2"/>
  <c r="P12" i="2"/>
  <c r="Q12" i="2"/>
  <c r="N12" i="2"/>
  <c r="T12" i="2"/>
  <c r="H12" i="2"/>
  <c r="I12" i="2"/>
  <c r="J12" i="2"/>
  <c r="K12" i="2"/>
  <c r="BT13" i="2"/>
  <c r="BD13" i="2"/>
  <c r="AN13" i="2"/>
  <c r="X13" i="2"/>
  <c r="AG13" i="2"/>
  <c r="BO13" i="2"/>
  <c r="AY13" i="2"/>
  <c r="AI13" i="2"/>
  <c r="BY13" i="2"/>
  <c r="AK13" i="2"/>
  <c r="BR13" i="2"/>
  <c r="BB13" i="2"/>
  <c r="AL13" i="2"/>
  <c r="CC13" i="2"/>
  <c r="AC13" i="2"/>
  <c r="BP13" i="2"/>
  <c r="AZ13" i="2"/>
  <c r="AJ13" i="2"/>
  <c r="BU13" i="2"/>
  <c r="CA13" i="2"/>
  <c r="BK13" i="2"/>
  <c r="AU13" i="2"/>
  <c r="AE13" i="2"/>
  <c r="BM13" i="2"/>
  <c r="Y13" i="2"/>
  <c r="BN13" i="2"/>
  <c r="AX13" i="2"/>
  <c r="AH13" i="2"/>
  <c r="BQ13" i="2"/>
  <c r="V13" i="2"/>
  <c r="H13" i="2"/>
  <c r="P13" i="2"/>
  <c r="L13" i="2"/>
  <c r="I13" i="2"/>
  <c r="CB13" i="2"/>
  <c r="BL13" i="2"/>
  <c r="AV13" i="2"/>
  <c r="AF13" i="2"/>
  <c r="BI13" i="2"/>
  <c r="BW13" i="2"/>
  <c r="BG13" i="2"/>
  <c r="AQ13" i="2"/>
  <c r="AA13" i="2"/>
  <c r="BE13" i="2"/>
  <c r="BZ13" i="2"/>
  <c r="BJ13" i="2"/>
  <c r="AT13" i="2"/>
  <c r="AD13" i="2"/>
  <c r="BA13" i="2"/>
  <c r="K13" i="2"/>
  <c r="J13" i="2"/>
  <c r="N13" i="2"/>
  <c r="BX13" i="2"/>
  <c r="BH13" i="2"/>
  <c r="AR13" i="2"/>
  <c r="AB13" i="2"/>
  <c r="AW13" i="2"/>
  <c r="BS13" i="2"/>
  <c r="BC13" i="2"/>
  <c r="AM13" i="2"/>
  <c r="W13" i="2"/>
  <c r="AS13" i="2"/>
  <c r="BV13" i="2"/>
  <c r="BF13" i="2"/>
  <c r="AP13" i="2"/>
  <c r="Z13" i="2"/>
  <c r="AO13" i="2"/>
  <c r="D13" i="2"/>
  <c r="E13" i="2"/>
  <c r="G13" i="2"/>
  <c r="F13" i="2"/>
  <c r="R13" i="2"/>
  <c r="Q13" i="2"/>
  <c r="O13" i="2"/>
  <c r="M13" i="2"/>
  <c r="U13" i="2"/>
  <c r="T13" i="2"/>
  <c r="S13" i="2"/>
</calcChain>
</file>

<file path=xl/sharedStrings.xml><?xml version="1.0" encoding="utf-8"?>
<sst xmlns="http://schemas.openxmlformats.org/spreadsheetml/2006/main" count="1990" uniqueCount="169">
  <si>
    <t>Padrão :</t>
  </si>
  <si>
    <t>Residuo</t>
  </si>
  <si>
    <t>X3</t>
  </si>
  <si>
    <t>X2</t>
  </si>
  <si>
    <t>X1</t>
  </si>
  <si>
    <t>X0</t>
  </si>
  <si>
    <t>Identificação :</t>
  </si>
  <si>
    <t>Orgão Calibrador :</t>
  </si>
  <si>
    <t>Veff</t>
  </si>
  <si>
    <t>Rastreabilidade :</t>
  </si>
  <si>
    <t>N° do certificado :</t>
  </si>
  <si>
    <t>Data da Calibração :</t>
  </si>
  <si>
    <t>Vencimento da Calibração :</t>
  </si>
  <si>
    <t>Divisão de escala :</t>
  </si>
  <si>
    <t>Unidade calibrada :</t>
  </si>
  <si>
    <t>Faixa de medição :</t>
  </si>
  <si>
    <t>~</t>
  </si>
  <si>
    <t>Valores da Calibração Atual</t>
  </si>
  <si>
    <t>Certificado</t>
  </si>
  <si>
    <t xml:space="preserve">Valor </t>
  </si>
  <si>
    <t>Leitura do</t>
  </si>
  <si>
    <t xml:space="preserve">Incerteza </t>
  </si>
  <si>
    <t>Referência</t>
  </si>
  <si>
    <t>Instrumento</t>
  </si>
  <si>
    <t>de Medição</t>
  </si>
  <si>
    <t>Observações (particularidades para utilização)</t>
  </si>
  <si>
    <t>Erro Atual</t>
  </si>
  <si>
    <t>Erro Anterior</t>
  </si>
  <si>
    <t>Diferença</t>
  </si>
  <si>
    <t>Calibração Anterior</t>
  </si>
  <si>
    <t>k</t>
  </si>
  <si>
    <t>Grau de liberdade</t>
  </si>
  <si>
    <t>Desvio Máx.</t>
  </si>
  <si>
    <t>Maior u</t>
  </si>
  <si>
    <t>Polinômio da Curva</t>
  </si>
  <si>
    <t>TAG</t>
  </si>
  <si>
    <t>Padrão</t>
  </si>
  <si>
    <t>Calibrado por</t>
  </si>
  <si>
    <t>Rastreabilidade</t>
  </si>
  <si>
    <t>n° do certificado</t>
  </si>
  <si>
    <t>Data da Calibração</t>
  </si>
  <si>
    <t>Vencimento</t>
  </si>
  <si>
    <t>Unidade calibrada</t>
  </si>
  <si>
    <t>Faixa mínima</t>
  </si>
  <si>
    <t>Faixa máxima</t>
  </si>
  <si>
    <t>Resolução</t>
  </si>
  <si>
    <t>Barômetro Digital</t>
  </si>
  <si>
    <t>at</t>
  </si>
  <si>
    <t>atm</t>
  </si>
  <si>
    <t>bar</t>
  </si>
  <si>
    <t>cmH2O</t>
  </si>
  <si>
    <t>cmH2O (4 °C)</t>
  </si>
  <si>
    <t>cmHg</t>
  </si>
  <si>
    <t>cmHg (0 °C)</t>
  </si>
  <si>
    <t>dyn/cm²</t>
  </si>
  <si>
    <t>ftH2O</t>
  </si>
  <si>
    <t>ftH2O (4 °C)</t>
  </si>
  <si>
    <t>ftHg</t>
  </si>
  <si>
    <t>gf/cm²</t>
  </si>
  <si>
    <t>hPa</t>
  </si>
  <si>
    <t>inH2O</t>
  </si>
  <si>
    <t>inH2O (15,6 °C)</t>
  </si>
  <si>
    <t>inH2O (4 °C)</t>
  </si>
  <si>
    <t>inHg</t>
  </si>
  <si>
    <t>inHg (0 °C)</t>
  </si>
  <si>
    <t>inHg (15,6 °C)</t>
  </si>
  <si>
    <t>kgf/cm²</t>
  </si>
  <si>
    <t>kgf/m²</t>
  </si>
  <si>
    <t>kgf/mm²</t>
  </si>
  <si>
    <t>kip/in²</t>
  </si>
  <si>
    <t>kp/cm²</t>
  </si>
  <si>
    <t>kPa</t>
  </si>
  <si>
    <t>ksi</t>
  </si>
  <si>
    <t>lbf/ft²</t>
  </si>
  <si>
    <t>lbf/in²</t>
  </si>
  <si>
    <t>mbar</t>
  </si>
  <si>
    <t>mH2O</t>
  </si>
  <si>
    <t>mH2O (4 °C)</t>
  </si>
  <si>
    <t>mmH2O</t>
  </si>
  <si>
    <t>mmH2O (4 °C)</t>
  </si>
  <si>
    <t>mmHg</t>
  </si>
  <si>
    <t>mmHg (0 °C)</t>
  </si>
  <si>
    <t>MPa</t>
  </si>
  <si>
    <t>N/cm²</t>
  </si>
  <si>
    <t>N/m²</t>
  </si>
  <si>
    <t>N/mm²</t>
  </si>
  <si>
    <t>Pa</t>
  </si>
  <si>
    <t>pdl/ft²</t>
  </si>
  <si>
    <t>psi</t>
  </si>
  <si>
    <t>torr</t>
  </si>
  <si>
    <t>Deriva  &gt;</t>
  </si>
  <si>
    <t>RBC - CAL 0439</t>
  </si>
  <si>
    <t>ELUS</t>
  </si>
  <si>
    <t>EL-588</t>
  </si>
  <si>
    <t>Maior desvio</t>
  </si>
  <si>
    <t>Maior Incerteza</t>
  </si>
  <si>
    <t>Deriva</t>
  </si>
  <si>
    <t>EL-193</t>
  </si>
  <si>
    <t>Elus</t>
  </si>
  <si>
    <t>DIMCI 0913/2021</t>
  </si>
  <si>
    <t>E102312B/23</t>
  </si>
  <si>
    <t>E122312B/23</t>
  </si>
  <si>
    <t>E14052B/23</t>
  </si>
  <si>
    <t>CAL - 219374/22</t>
  </si>
  <si>
    <t>CAL - 221334/23</t>
  </si>
  <si>
    <t>CTA</t>
  </si>
  <si>
    <t>RBC - CAL 0001</t>
  </si>
  <si>
    <t>MF-P 747/23</t>
  </si>
  <si>
    <t>E.TH.LP-001</t>
  </si>
  <si>
    <t>E.TH.LQ-001</t>
  </si>
  <si>
    <t>E0149B/24</t>
  </si>
  <si>
    <t>E.TH.LQ-002</t>
  </si>
  <si>
    <t>E.TH.LV-002</t>
  </si>
  <si>
    <t>E0145B/24</t>
  </si>
  <si>
    <t>E.PS.FS-001</t>
  </si>
  <si>
    <t>E0216/24</t>
  </si>
  <si>
    <t>E.PS.FS-002</t>
  </si>
  <si>
    <t>E0415/24</t>
  </si>
  <si>
    <t>E.PS.FS-003</t>
  </si>
  <si>
    <t>E0450/24</t>
  </si>
  <si>
    <t>E.PS.FS-008</t>
  </si>
  <si>
    <t>E0051/25</t>
  </si>
  <si>
    <t>E.PS.FS-009</t>
  </si>
  <si>
    <t>E0076/25</t>
  </si>
  <si>
    <t>E.PS.FS-010</t>
  </si>
  <si>
    <t>E0077/25</t>
  </si>
  <si>
    <t>E.PS.FS-011</t>
  </si>
  <si>
    <t>E0078/25</t>
  </si>
  <si>
    <t>X.TH.LV-001</t>
  </si>
  <si>
    <t>E0369B/24</t>
  </si>
  <si>
    <t>M.MS.LM-013</t>
  </si>
  <si>
    <t>E0040A/25</t>
  </si>
  <si>
    <t>M.MS.LM-012</t>
  </si>
  <si>
    <t>E0526A/24</t>
  </si>
  <si>
    <t>M.MS.LM-015</t>
  </si>
  <si>
    <t>E0225/25</t>
  </si>
  <si>
    <t>E0226/25</t>
  </si>
  <si>
    <t>M.MS.LM-016</t>
  </si>
  <si>
    <t>E0397B/25</t>
  </si>
  <si>
    <t>E0400B/25</t>
  </si>
  <si>
    <t>E0396B/25</t>
  </si>
  <si>
    <t>E.PS.FS-035</t>
  </si>
  <si>
    <t>E0381/25</t>
  </si>
  <si>
    <t>E0398B/25</t>
  </si>
  <si>
    <t>E0627/25</t>
  </si>
  <si>
    <t>E0652/25</t>
  </si>
  <si>
    <t>E0817/25</t>
  </si>
  <si>
    <t>Julio Cesar</t>
  </si>
  <si>
    <t>Caio Cesar</t>
  </si>
  <si>
    <t>Criação da aba de controle de atualização.</t>
  </si>
  <si>
    <t>-</t>
  </si>
  <si>
    <t>Descrição das alterações:</t>
  </si>
  <si>
    <t>Verificado por:</t>
  </si>
  <si>
    <t>Revisado por:</t>
  </si>
  <si>
    <t>Data</t>
  </si>
  <si>
    <t>Revisão</t>
  </si>
  <si>
    <t>por :</t>
  </si>
  <si>
    <t>Ultima Revisão</t>
  </si>
  <si>
    <t>Caio C.</t>
  </si>
  <si>
    <t>1ª Revisão</t>
  </si>
  <si>
    <t>N° do documento</t>
  </si>
  <si>
    <t>Histórico de revisões do Formulário:</t>
  </si>
  <si>
    <t>Banco de dados - Barômetros - Ambiente</t>
  </si>
  <si>
    <t>Atualização do padrão E.PS.FS-003.</t>
  </si>
  <si>
    <t>E0047/26</t>
  </si>
  <si>
    <t>E0091/26</t>
  </si>
  <si>
    <t>E0093/26</t>
  </si>
  <si>
    <t>E0094/26</t>
  </si>
  <si>
    <t>Atualização do padrão E.PS.FS-008/011/010/009.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</si>
</sst>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6]mmmm\-yy;@"/>
    <numFmt numFmtId="165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6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3">
    <xf numFmtId="0" fontId="0" fillId="0" borderId="0"/>
    <xf numFmtId="164" fontId="1" fillId="0" borderId="0"/>
    <xf numFmtId="0" fontId="2" fillId="0" borderId="0"/>
  </cellStyleXfs>
  <cellXfs count="84">
    <xf numFmtId="0" fontId="0" fillId="0" borderId="0" xfId="0"/>
    <xf numFmtId="0" fontId="0" fillId="2" borderId="0" xfId="0" applyFill="1" applyAlignment="1" applyProtection="1">
      <alignment horizontal="center"/>
      <protection hidden="1"/>
    </xf>
    <xf numFmtId="0" fontId="0" fillId="2" borderId="1" xfId="0" applyFill="1" applyBorder="1" applyAlignment="1" applyProtection="1">
      <alignment horizontal="center"/>
      <protection hidden="1"/>
    </xf>
    <xf numFmtId="0" fontId="0" fillId="5" borderId="1" xfId="0" applyFill="1" applyBorder="1" applyAlignment="1" applyProtection="1">
      <alignment horizontal="center"/>
      <protection hidden="1"/>
    </xf>
    <xf numFmtId="0" fontId="0" fillId="2" borderId="1" xfId="0" quotePrefix="1" applyFill="1" applyBorder="1" applyAlignment="1" applyProtection="1">
      <alignment horizontal="center"/>
      <protection hidden="1"/>
    </xf>
    <xf numFmtId="0" fontId="0" fillId="2" borderId="2" xfId="0" applyFill="1" applyBorder="1" applyAlignment="1" applyProtection="1">
      <alignment horizontal="center"/>
      <protection hidden="1"/>
    </xf>
    <xf numFmtId="0" fontId="0" fillId="2" borderId="4" xfId="0" applyFill="1" applyBorder="1" applyAlignment="1" applyProtection="1">
      <alignment horizontal="center"/>
      <protection hidden="1"/>
    </xf>
    <xf numFmtId="0" fontId="0" fillId="2" borderId="5" xfId="0" applyFill="1" applyBorder="1" applyAlignment="1" applyProtection="1">
      <alignment horizontal="center"/>
      <protection hidden="1"/>
    </xf>
    <xf numFmtId="0" fontId="0" fillId="8" borderId="0" xfId="0" applyFill="1" applyAlignment="1" applyProtection="1">
      <alignment horizontal="center"/>
      <protection hidden="1"/>
    </xf>
    <xf numFmtId="0" fontId="0" fillId="4" borderId="5" xfId="0" applyFill="1" applyBorder="1" applyAlignment="1" applyProtection="1">
      <alignment horizontal="center"/>
      <protection hidden="1"/>
    </xf>
    <xf numFmtId="0" fontId="0" fillId="2" borderId="0" xfId="0" applyFill="1" applyAlignment="1">
      <alignment horizontal="center"/>
    </xf>
    <xf numFmtId="0" fontId="0" fillId="2" borderId="1" xfId="0" applyFill="1" applyBorder="1" applyAlignment="1" applyProtection="1">
      <alignment horizontal="center" vertical="center"/>
      <protection hidden="1"/>
    </xf>
    <xf numFmtId="0" fontId="0" fillId="9" borderId="1" xfId="0" applyFill="1" applyBorder="1" applyAlignment="1" applyProtection="1">
      <alignment horizontal="center" vertical="center"/>
      <protection hidden="1"/>
    </xf>
    <xf numFmtId="0" fontId="0" fillId="10" borderId="1" xfId="0" applyFill="1" applyBorder="1" applyAlignment="1" applyProtection="1">
      <alignment horizontal="center" vertical="center"/>
      <protection hidden="1"/>
    </xf>
    <xf numFmtId="0" fontId="0" fillId="11" borderId="1" xfId="0" applyFill="1" applyBorder="1" applyAlignment="1" applyProtection="1">
      <alignment horizontal="center" vertical="center"/>
      <protection hidden="1"/>
    </xf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0" fontId="0" fillId="7" borderId="1" xfId="0" quotePrefix="1" applyFill="1" applyBorder="1" applyAlignment="1" applyProtection="1">
      <alignment horizontal="center" vertical="center"/>
      <protection hidden="1"/>
    </xf>
    <xf numFmtId="165" fontId="0" fillId="4" borderId="1" xfId="0" applyNumberFormat="1" applyFill="1" applyBorder="1" applyAlignment="1" applyProtection="1">
      <alignment horizontal="center"/>
      <protection hidden="1"/>
    </xf>
    <xf numFmtId="1" fontId="0" fillId="4" borderId="1" xfId="0" applyNumberFormat="1" applyFill="1" applyBorder="1" applyAlignment="1" applyProtection="1">
      <alignment horizontal="center"/>
      <protection hidden="1"/>
    </xf>
    <xf numFmtId="0" fontId="0" fillId="2" borderId="3" xfId="0" applyFill="1" applyBorder="1" applyProtection="1">
      <protection hidden="1"/>
    </xf>
    <xf numFmtId="0" fontId="0" fillId="4" borderId="1" xfId="0" applyFill="1" applyBorder="1" applyAlignment="1" applyProtection="1">
      <alignment horizontal="center"/>
      <protection hidden="1"/>
    </xf>
    <xf numFmtId="0" fontId="0" fillId="7" borderId="1" xfId="0" applyFill="1" applyBorder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" fillId="4" borderId="1" xfId="1" applyNumberFormat="1" applyFill="1" applyBorder="1" applyAlignment="1">
      <alignment horizontal="center"/>
    </xf>
    <xf numFmtId="0" fontId="1" fillId="2" borderId="1" xfId="1" applyNumberFormat="1" applyFill="1" applyBorder="1" applyAlignment="1">
      <alignment horizontal="center"/>
    </xf>
    <xf numFmtId="0" fontId="0" fillId="2" borderId="1" xfId="1" applyNumberFormat="1" applyFont="1" applyFill="1" applyBorder="1" applyAlignment="1">
      <alignment horizontal="center"/>
    </xf>
    <xf numFmtId="0" fontId="0" fillId="2" borderId="7" xfId="0" applyFill="1" applyBorder="1" applyProtection="1">
      <protection hidden="1"/>
    </xf>
    <xf numFmtId="14" fontId="0" fillId="2" borderId="0" xfId="0" applyNumberFormat="1" applyFill="1" applyAlignment="1">
      <alignment horizontal="center"/>
    </xf>
    <xf numFmtId="2" fontId="0" fillId="4" borderId="1" xfId="0" applyNumberFormat="1" applyFill="1" applyBorder="1" applyAlignment="1" applyProtection="1">
      <alignment horizontal="center"/>
      <protection hidden="1"/>
    </xf>
    <xf numFmtId="0" fontId="0" fillId="7" borderId="1" xfId="0" applyFill="1" applyBorder="1" applyAlignment="1">
      <alignment horizontal="center"/>
    </xf>
    <xf numFmtId="0" fontId="3" fillId="2" borderId="0" xfId="2" applyFont="1" applyFill="1" applyAlignment="1" applyProtection="1">
      <alignment horizontal="left"/>
      <protection hidden="1"/>
    </xf>
    <xf numFmtId="0" fontId="3" fillId="2" borderId="0" xfId="2" applyFont="1" applyFill="1" applyAlignment="1" applyProtection="1">
      <alignment horizontal="center"/>
      <protection hidden="1"/>
    </xf>
    <xf numFmtId="0" fontId="3" fillId="2" borderId="8" xfId="2" applyFont="1" applyFill="1" applyBorder="1" applyAlignment="1" applyProtection="1">
      <alignment horizontal="left"/>
      <protection hidden="1"/>
    </xf>
    <xf numFmtId="0" fontId="3" fillId="2" borderId="8" xfId="2" applyFont="1" applyFill="1" applyBorder="1" applyAlignment="1" applyProtection="1">
      <alignment horizontal="center"/>
      <protection hidden="1"/>
    </xf>
    <xf numFmtId="0" fontId="3" fillId="2" borderId="9" xfId="2" applyFont="1" applyFill="1" applyBorder="1" applyAlignment="1" applyProtection="1">
      <alignment horizontal="left"/>
      <protection hidden="1"/>
    </xf>
    <xf numFmtId="14" fontId="3" fillId="2" borderId="10" xfId="2" applyNumberFormat="1" applyFont="1" applyFill="1" applyBorder="1" applyAlignment="1" applyProtection="1">
      <alignment horizontal="center"/>
      <protection hidden="1"/>
    </xf>
    <xf numFmtId="14" fontId="3" fillId="2" borderId="11" xfId="2" applyNumberFormat="1" applyFont="1" applyFill="1" applyBorder="1" applyAlignment="1" applyProtection="1">
      <alignment horizontal="center"/>
      <protection hidden="1"/>
    </xf>
    <xf numFmtId="0" fontId="3" fillId="2" borderId="12" xfId="2" applyFont="1" applyFill="1" applyBorder="1" applyAlignment="1" applyProtection="1">
      <alignment horizontal="center"/>
      <protection hidden="1"/>
    </xf>
    <xf numFmtId="0" fontId="3" fillId="2" borderId="13" xfId="2" applyFont="1" applyFill="1" applyBorder="1" applyAlignment="1" applyProtection="1">
      <alignment horizontal="left"/>
      <protection hidden="1"/>
    </xf>
    <xf numFmtId="14" fontId="3" fillId="2" borderId="12" xfId="2" applyNumberFormat="1" applyFont="1" applyFill="1" applyBorder="1" applyAlignment="1" applyProtection="1">
      <alignment horizontal="center"/>
      <protection hidden="1"/>
    </xf>
    <xf numFmtId="14" fontId="3" fillId="2" borderId="12" xfId="2" quotePrefix="1" applyNumberFormat="1" applyFont="1" applyFill="1" applyBorder="1" applyAlignment="1" applyProtection="1">
      <alignment horizontal="center"/>
      <protection hidden="1"/>
    </xf>
    <xf numFmtId="0" fontId="3" fillId="2" borderId="14" xfId="2" applyFont="1" applyFill="1" applyBorder="1" applyAlignment="1" applyProtection="1">
      <alignment horizontal="left"/>
      <protection hidden="1"/>
    </xf>
    <xf numFmtId="0" fontId="3" fillId="2" borderId="14" xfId="2" quotePrefix="1" applyFont="1" applyFill="1" applyBorder="1" applyAlignment="1" applyProtection="1">
      <alignment horizontal="left"/>
      <protection hidden="1"/>
    </xf>
    <xf numFmtId="14" fontId="3" fillId="2" borderId="15" xfId="2" quotePrefix="1" applyNumberFormat="1" applyFont="1" applyFill="1" applyBorder="1" applyAlignment="1" applyProtection="1">
      <alignment horizontal="center"/>
      <protection hidden="1"/>
    </xf>
    <xf numFmtId="0" fontId="3" fillId="2" borderId="15" xfId="2" applyFont="1" applyFill="1" applyBorder="1" applyAlignment="1" applyProtection="1">
      <alignment horizontal="center"/>
      <protection hidden="1"/>
    </xf>
    <xf numFmtId="0" fontId="3" fillId="2" borderId="6" xfId="2" applyFont="1" applyFill="1" applyBorder="1" applyAlignment="1" applyProtection="1">
      <alignment horizontal="left"/>
      <protection hidden="1"/>
    </xf>
    <xf numFmtId="0" fontId="3" fillId="2" borderId="1" xfId="2" applyFont="1" applyFill="1" applyBorder="1" applyAlignment="1" applyProtection="1">
      <alignment horizontal="center"/>
      <protection hidden="1"/>
    </xf>
    <xf numFmtId="0" fontId="3" fillId="2" borderId="1" xfId="2" quotePrefix="1" applyFont="1" applyFill="1" applyBorder="1" applyAlignment="1" applyProtection="1">
      <alignment horizontal="center"/>
      <protection hidden="1"/>
    </xf>
    <xf numFmtId="14" fontId="3" fillId="2" borderId="1" xfId="2" applyNumberFormat="1" applyFont="1" applyFill="1" applyBorder="1" applyAlignment="1" applyProtection="1">
      <alignment horizontal="center"/>
      <protection hidden="1"/>
    </xf>
    <xf numFmtId="0" fontId="4" fillId="2" borderId="0" xfId="2" applyFont="1" applyFill="1" applyAlignment="1" applyProtection="1">
      <alignment horizontal="left"/>
      <protection hidden="1"/>
    </xf>
    <xf numFmtId="0" fontId="0" fillId="2" borderId="1" xfId="0" applyFill="1" applyBorder="1" applyAlignment="1" applyProtection="1">
      <alignment horizontal="center"/>
      <protection hidden="1"/>
    </xf>
    <xf numFmtId="0" fontId="0" fillId="2" borderId="4" xfId="0" applyFill="1" applyBorder="1" applyAlignment="1" applyProtection="1">
      <alignment horizontal="center" wrapText="1"/>
      <protection hidden="1"/>
    </xf>
    <xf numFmtId="0" fontId="0" fillId="4" borderId="1" xfId="0" applyFill="1" applyBorder="1" applyAlignment="1" applyProtection="1">
      <alignment horizontal="left" vertical="top"/>
      <protection hidden="1"/>
    </xf>
    <xf numFmtId="0" fontId="0" fillId="2" borderId="1" xfId="0" applyFill="1" applyBorder="1" applyAlignment="1" applyProtection="1">
      <alignment horizontal="left"/>
      <protection hidden="1"/>
    </xf>
    <xf numFmtId="164" fontId="0" fillId="4" borderId="1" xfId="0" applyNumberFormat="1" applyFill="1" applyBorder="1" applyAlignment="1" applyProtection="1">
      <alignment horizontal="left" vertical="top"/>
      <protection hidden="1"/>
    </xf>
    <xf numFmtId="0" fontId="0" fillId="3" borderId="1" xfId="0" applyFill="1" applyBorder="1" applyAlignment="1" applyProtection="1">
      <alignment horizontal="center"/>
      <protection hidden="1"/>
    </xf>
    <xf numFmtId="0" fontId="0" fillId="6" borderId="2" xfId="0" applyFill="1" applyBorder="1" applyAlignment="1" applyProtection="1">
      <alignment horizontal="center"/>
      <protection hidden="1"/>
    </xf>
    <xf numFmtId="0" fontId="0" fillId="6" borderId="3" xfId="0" applyFill="1" applyBorder="1" applyAlignment="1" applyProtection="1">
      <alignment horizontal="center"/>
      <protection hidden="1"/>
    </xf>
    <xf numFmtId="0" fontId="0" fillId="4" borderId="1" xfId="0" quotePrefix="1" applyFill="1" applyBorder="1" applyAlignment="1" applyProtection="1">
      <alignment horizontal="left" vertical="top"/>
      <protection hidden="1"/>
    </xf>
    <xf numFmtId="14" fontId="0" fillId="4" borderId="1" xfId="0" quotePrefix="1" applyNumberFormat="1" applyFill="1" applyBorder="1" applyAlignment="1" applyProtection="1">
      <alignment horizontal="left" vertical="top"/>
      <protection hidden="1"/>
    </xf>
    <xf numFmtId="0" fontId="0" fillId="2" borderId="5" xfId="0" applyFill="1" applyBorder="1" applyAlignment="1" applyProtection="1">
      <alignment horizontal="left"/>
      <protection hidden="1"/>
    </xf>
    <xf numFmtId="164" fontId="0" fillId="4" borderId="2" xfId="0" applyNumberFormat="1" applyFill="1" applyBorder="1" applyAlignment="1" applyProtection="1">
      <alignment horizontal="left" vertical="top"/>
      <protection hidden="1"/>
    </xf>
    <xf numFmtId="164" fontId="0" fillId="4" borderId="6" xfId="0" applyNumberFormat="1" applyFill="1" applyBorder="1" applyAlignment="1" applyProtection="1">
      <alignment horizontal="left" vertical="top"/>
      <protection hidden="1"/>
    </xf>
    <xf numFmtId="164" fontId="0" fillId="4" borderId="3" xfId="0" applyNumberFormat="1" applyFill="1" applyBorder="1" applyAlignment="1" applyProtection="1">
      <alignment horizontal="left" vertical="top"/>
      <protection hidden="1"/>
    </xf>
    <xf numFmtId="0" fontId="0" fillId="4" borderId="2" xfId="0" applyFill="1" applyBorder="1" applyAlignment="1" applyProtection="1">
      <alignment horizontal="left" vertical="top"/>
      <protection hidden="1"/>
    </xf>
    <xf numFmtId="0" fontId="0" fillId="4" borderId="6" xfId="0" applyFill="1" applyBorder="1" applyAlignment="1" applyProtection="1">
      <alignment horizontal="left" vertical="top"/>
      <protection hidden="1"/>
    </xf>
    <xf numFmtId="0" fontId="0" fillId="4" borderId="3" xfId="0" applyFill="1" applyBorder="1" applyAlignment="1" applyProtection="1">
      <alignment horizontal="left" vertical="top"/>
      <protection hidden="1"/>
    </xf>
    <xf numFmtId="14" fontId="0" fillId="4" borderId="2" xfId="0" quotePrefix="1" applyNumberFormat="1" applyFill="1" applyBorder="1" applyAlignment="1" applyProtection="1">
      <alignment horizontal="left" vertical="top"/>
      <protection hidden="1"/>
    </xf>
    <xf numFmtId="14" fontId="0" fillId="4" borderId="6" xfId="0" quotePrefix="1" applyNumberFormat="1" applyFill="1" applyBorder="1" applyAlignment="1" applyProtection="1">
      <alignment horizontal="left" vertical="top"/>
      <protection hidden="1"/>
    </xf>
    <xf numFmtId="14" fontId="0" fillId="4" borderId="3" xfId="0" quotePrefix="1" applyNumberFormat="1" applyFill="1" applyBorder="1" applyAlignment="1" applyProtection="1">
      <alignment horizontal="left" vertical="top"/>
      <protection hidden="1"/>
    </xf>
    <xf numFmtId="0" fontId="0" fillId="10" borderId="2" xfId="0" applyFill="1" applyBorder="1" applyAlignment="1">
      <alignment horizontal="center"/>
    </xf>
    <xf numFmtId="0" fontId="0" fillId="10" borderId="6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9" borderId="1" xfId="0" applyFill="1" applyBorder="1" applyAlignment="1" applyProtection="1">
      <alignment horizontal="center" vertical="center"/>
      <protection hidden="1"/>
    </xf>
    <xf numFmtId="0" fontId="0" fillId="11" borderId="2" xfId="0" applyFill="1" applyBorder="1" applyAlignment="1">
      <alignment horizontal="center"/>
    </xf>
    <xf numFmtId="0" fontId="0" fillId="11" borderId="6" xfId="0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3" fillId="2" borderId="2" xfId="2" applyFont="1" applyFill="1" applyBorder="1" applyAlignment="1" applyProtection="1">
      <alignment horizontal="left"/>
      <protection hidden="1"/>
    </xf>
    <xf numFmtId="0" fontId="3" fillId="2" borderId="3" xfId="2" applyFont="1" applyFill="1" applyBorder="1" applyAlignment="1" applyProtection="1">
      <alignment horizontal="left"/>
      <protection hidden="1"/>
    </xf>
    <xf numFmtId="0" fontId="3" fillId="2" borderId="1" xfId="2" applyFont="1" applyFill="1" applyBorder="1" applyAlignment="1" applyProtection="1">
      <alignment horizontal="center"/>
      <protection hidden="1"/>
    </xf>
  </cellXfs>
  <cellStyles count="3">
    <cellStyle name="Normal" xfId="0" builtinId="0"/>
    <cellStyle name="Normal 2" xfId="1" xr:uid="{00000000-0005-0000-0000-000001000000}"/>
    <cellStyle name="Normal 2 2" xfId="2" xr:uid="{78EE3179-38CB-4B8D-8E75-F910936274D7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silva\AppData\Local\Microsoft\Windows\INetCache\Content.Outlook\SVRDFPQ7\E014152-1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outros\volume%20versao%200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iente"/>
      <sheetName val="pAr"/>
      <sheetName val="Instrumento"/>
      <sheetName val="Ponto1"/>
      <sheetName val="Ponto2"/>
      <sheetName val="Ponto3"/>
      <sheetName val="Ponto4"/>
      <sheetName val="Ponto5"/>
      <sheetName val="Ponto6"/>
      <sheetName val="Ponto7"/>
      <sheetName val="Excentricidade"/>
      <sheetName val="Certificado."/>
      <sheetName val=" Padrão"/>
      <sheetName val="IM=1ºPonto "/>
      <sheetName val="IM=2ºPonto"/>
      <sheetName val="IM=3ºPonto"/>
      <sheetName val="IM=4ºPonto "/>
      <sheetName val="IM=5ºPonto "/>
      <sheetName val="IM=6ºPonto "/>
      <sheetName val="IM=7ºPonto"/>
      <sheetName val="IM=Excentricidade"/>
      <sheetName val="Certificado"/>
      <sheetName val="Validaçao do BD"/>
      <sheetName val="Plan1"/>
      <sheetName val="Matriz Certificados"/>
      <sheetName val="Planilha1"/>
    </sheetNames>
    <sheetDataSet>
      <sheetData sheetId="0">
        <row r="8">
          <cell r="Y8" t="str">
            <v>014152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Open Stub Data"/>
      <sheetName val="Dados"/>
      <sheetName val="FichaVolume"/>
      <sheetName val="FichaPicno"/>
      <sheetName val="CERTIFICADO RBC"/>
      <sheetName val="CERTIFICADO ISO"/>
      <sheetName val="TemplateInformation"/>
      <sheetName val="Cliente"/>
      <sheetName val="Instrumento"/>
      <sheetName val="BuretaTitulador"/>
      <sheetName val="pAr"/>
      <sheetName val="pÁgua"/>
      <sheetName val="Calibração -1"/>
      <sheetName val="Calibração -2"/>
      <sheetName val="Calibração -3"/>
      <sheetName val="Ficha de Calibração"/>
      <sheetName val="cert. 1 ponto"/>
      <sheetName val="cert. 3 pontos"/>
      <sheetName val="calculos"/>
      <sheetName val="Planilhas"/>
      <sheetName val="Padrões"/>
      <sheetName val="Verificação"/>
      <sheetName val="Descrição Padroes"/>
      <sheetName val="Certificado"/>
      <sheetName val="Validaçao do BD"/>
      <sheetName val="Análise de dados"/>
    </sheetNames>
    <sheetDataSet>
      <sheetData sheetId="0" refreshError="1"/>
      <sheetData sheetId="1" refreshError="1">
        <row r="7">
          <cell r="E7">
            <v>36347</v>
          </cell>
        </row>
        <row r="8">
          <cell r="C8">
            <v>23</v>
          </cell>
        </row>
        <row r="10">
          <cell r="C10" t="str">
            <v>PROVETA</v>
          </cell>
          <cell r="F10" t="str">
            <v>10 ml</v>
          </cell>
        </row>
        <row r="11">
          <cell r="F11" t="str">
            <v>100 ml</v>
          </cell>
        </row>
        <row r="13">
          <cell r="C13" t="str">
            <v>teste 01</v>
          </cell>
          <cell r="F13" t="str">
            <v>SE 077</v>
          </cell>
        </row>
        <row r="14">
          <cell r="C14" t="str">
            <v>9999/99</v>
          </cell>
          <cell r="F14" t="str">
            <v>02</v>
          </cell>
        </row>
        <row r="25">
          <cell r="D25">
            <v>20</v>
          </cell>
        </row>
        <row r="27">
          <cell r="D27">
            <v>933</v>
          </cell>
        </row>
        <row r="31">
          <cell r="D31" t="str">
            <v>ml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3"/>
  <dimension ref="A1:V1161"/>
  <sheetViews>
    <sheetView workbookViewId="0"/>
  </sheetViews>
  <sheetFormatPr defaultColWidth="13" defaultRowHeight="14.4" x14ac:dyDescent="0.3"/>
  <cols>
    <col min="1" max="1" width="6" style="1" bestFit="1" customWidth="1"/>
    <col min="2" max="16384" width="13" style="1"/>
  </cols>
  <sheetData>
    <row r="1" spans="1:22" x14ac:dyDescent="0.3">
      <c r="A1" s="1">
        <v>1</v>
      </c>
      <c r="B1" s="1">
        <v>2</v>
      </c>
      <c r="C1" s="1">
        <f>B1+1</f>
        <v>3</v>
      </c>
      <c r="D1" s="1">
        <f t="shared" ref="D1:H1" si="0">C1+1</f>
        <v>4</v>
      </c>
      <c r="E1" s="1">
        <f t="shared" si="0"/>
        <v>5</v>
      </c>
      <c r="F1" s="1">
        <f t="shared" si="0"/>
        <v>6</v>
      </c>
      <c r="G1" s="1">
        <f t="shared" si="0"/>
        <v>7</v>
      </c>
      <c r="H1" s="1">
        <f t="shared" si="0"/>
        <v>8</v>
      </c>
      <c r="I1" s="1">
        <f t="shared" ref="I1:T1" si="1">H1+1</f>
        <v>9</v>
      </c>
      <c r="J1" s="1">
        <f t="shared" si="1"/>
        <v>10</v>
      </c>
      <c r="K1" s="1">
        <f t="shared" si="1"/>
        <v>11</v>
      </c>
      <c r="L1" s="1">
        <f t="shared" si="1"/>
        <v>12</v>
      </c>
      <c r="M1" s="1">
        <f t="shared" si="1"/>
        <v>13</v>
      </c>
      <c r="N1" s="1">
        <f t="shared" si="1"/>
        <v>14</v>
      </c>
      <c r="O1" s="1">
        <f t="shared" si="1"/>
        <v>15</v>
      </c>
      <c r="P1" s="1">
        <f t="shared" si="1"/>
        <v>16</v>
      </c>
      <c r="Q1" s="1">
        <f t="shared" si="1"/>
        <v>17</v>
      </c>
      <c r="R1" s="1">
        <f t="shared" si="1"/>
        <v>18</v>
      </c>
      <c r="S1" s="1">
        <f t="shared" si="1"/>
        <v>19</v>
      </c>
      <c r="T1" s="1">
        <f t="shared" si="1"/>
        <v>20</v>
      </c>
    </row>
    <row r="2" spans="1:22" x14ac:dyDescent="0.3">
      <c r="A2" s="1">
        <f t="shared" ref="A2:A58" si="2">ROUND(CONCATENATE(S2,T2),0)</f>
        <v>1201</v>
      </c>
      <c r="B2" s="57" t="s">
        <v>0</v>
      </c>
      <c r="C2" s="57"/>
      <c r="D2" s="56" t="s">
        <v>46</v>
      </c>
      <c r="E2" s="56"/>
      <c r="F2" s="56"/>
      <c r="G2" s="56"/>
      <c r="H2" s="56"/>
      <c r="L2" s="1">
        <v>1</v>
      </c>
      <c r="M2" s="1">
        <v>2</v>
      </c>
      <c r="N2" s="1">
        <v>3</v>
      </c>
      <c r="O2" s="1">
        <v>4</v>
      </c>
      <c r="P2" s="1">
        <v>5</v>
      </c>
      <c r="Q2" s="1">
        <v>6</v>
      </c>
      <c r="R2" s="1">
        <v>7</v>
      </c>
      <c r="S2" s="1">
        <f>A1</f>
        <v>1</v>
      </c>
      <c r="T2" s="1">
        <v>201</v>
      </c>
      <c r="V2" s="1" t="s">
        <v>47</v>
      </c>
    </row>
    <row r="3" spans="1:22" x14ac:dyDescent="0.3">
      <c r="A3" s="1">
        <f t="shared" si="2"/>
        <v>1202</v>
      </c>
      <c r="B3" s="57"/>
      <c r="C3" s="57"/>
      <c r="D3" s="57"/>
      <c r="E3" s="57"/>
      <c r="F3" s="57"/>
      <c r="G3" s="57"/>
      <c r="H3" s="57"/>
      <c r="K3" s="2" t="s">
        <v>1</v>
      </c>
      <c r="L3" s="2"/>
      <c r="M3" s="2" t="s">
        <v>2</v>
      </c>
      <c r="N3" s="2" t="s">
        <v>3</v>
      </c>
      <c r="O3" s="2" t="s">
        <v>4</v>
      </c>
      <c r="P3" s="2" t="s">
        <v>5</v>
      </c>
      <c r="S3" s="1">
        <f>S2</f>
        <v>1</v>
      </c>
      <c r="T3" s="1">
        <v>202</v>
      </c>
      <c r="V3" s="1" t="s">
        <v>48</v>
      </c>
    </row>
    <row r="4" spans="1:22" x14ac:dyDescent="0.3">
      <c r="A4" s="1">
        <f t="shared" si="2"/>
        <v>1203</v>
      </c>
      <c r="B4" s="64" t="s">
        <v>6</v>
      </c>
      <c r="C4" s="64"/>
      <c r="D4" s="56" t="s">
        <v>128</v>
      </c>
      <c r="E4" s="56"/>
      <c r="F4" s="56"/>
      <c r="G4" s="56"/>
      <c r="H4" s="56"/>
      <c r="K4" s="3">
        <f>IF(K6&gt;=3,N6,LOOKUP(15-($B33+1),M2:R2,M6:P6))</f>
        <v>8.577388855574835E-3</v>
      </c>
      <c r="L4" s="2" t="str">
        <f>CONCATENATE($B33,"1")</f>
        <v>41</v>
      </c>
      <c r="M4" s="2">
        <f>VLOOKUP(L4,J7:P58,O2,FALSE)</f>
        <v>-1.6624347886143584E-9</v>
      </c>
      <c r="N4" s="2">
        <f>VLOOKUP(L4,J7:P58,P2,FALSE)</f>
        <v>3.7566008020070642E-6</v>
      </c>
      <c r="O4" s="2">
        <f>VLOOKUP(L4,J7:P58,Q2,FALSE)</f>
        <v>0.99781207801395577</v>
      </c>
      <c r="P4" s="2">
        <f>VLOOKUP(L4,J7:P58,R2,FALSE)</f>
        <v>-0.1364471993613201</v>
      </c>
      <c r="S4" s="1">
        <f t="shared" ref="S4:S58" si="3">S3</f>
        <v>1</v>
      </c>
      <c r="T4" s="1">
        <v>203</v>
      </c>
      <c r="V4" s="1" t="s">
        <v>49</v>
      </c>
    </row>
    <row r="5" spans="1:22" x14ac:dyDescent="0.3">
      <c r="A5" s="1">
        <f t="shared" si="2"/>
        <v>1204</v>
      </c>
      <c r="B5" s="57" t="s">
        <v>7</v>
      </c>
      <c r="C5" s="57"/>
      <c r="D5" s="56" t="s">
        <v>92</v>
      </c>
      <c r="E5" s="56"/>
      <c r="F5" s="56"/>
      <c r="G5" s="56"/>
      <c r="H5" s="56"/>
      <c r="K5" s="2" t="s">
        <v>8</v>
      </c>
      <c r="L5" s="2" t="str">
        <f>CONCATENATE($B33,"2")</f>
        <v>42</v>
      </c>
      <c r="M5" s="2">
        <f>VLOOKUP(L5,J7:P58,O2,FALSE)</f>
        <v>6.2048656223220042E-10</v>
      </c>
      <c r="N5" s="2">
        <f>VLOOKUP(L5,J7:P58,P2,FALSE)</f>
        <v>1.4922136436130133E-6</v>
      </c>
      <c r="O5" s="2">
        <f>VLOOKUP(L5,J7:P58,Q2,FALSE)</f>
        <v>1.1569080129924714E-3</v>
      </c>
      <c r="P5" s="2">
        <f>VLOOKUP(L5,J7:P58,R2,FALSE)</f>
        <v>0.28800324395945848</v>
      </c>
      <c r="S5" s="1">
        <f t="shared" si="3"/>
        <v>1</v>
      </c>
      <c r="T5" s="1">
        <v>204</v>
      </c>
      <c r="V5" s="1" t="s">
        <v>50</v>
      </c>
    </row>
    <row r="6" spans="1:22" x14ac:dyDescent="0.3">
      <c r="A6" s="1">
        <f t="shared" si="2"/>
        <v>1205</v>
      </c>
      <c r="B6" s="57" t="s">
        <v>9</v>
      </c>
      <c r="C6" s="57"/>
      <c r="D6" s="56" t="s">
        <v>91</v>
      </c>
      <c r="E6" s="56"/>
      <c r="F6" s="56"/>
      <c r="G6" s="56"/>
      <c r="H6" s="56"/>
      <c r="K6" s="3">
        <f>IF(B33&gt;3,3,B33)</f>
        <v>3</v>
      </c>
      <c r="L6" s="2" t="str">
        <f>CONCATENATE($B33,"3")</f>
        <v>43</v>
      </c>
      <c r="M6" s="2">
        <f>VLOOKUP(L6,J7:P58,O2,FALSE)</f>
        <v>0.99999999941493278</v>
      </c>
      <c r="N6" s="2">
        <f>VLOOKUP(L6,J7:P58,P2,FALSE)</f>
        <v>8.577388855574835E-3</v>
      </c>
      <c r="O6" s="2" t="e">
        <f>VLOOKUP(L6,J7:P58,Q2,FALSE)</f>
        <v>#N/A</v>
      </c>
      <c r="P6" s="2" t="e">
        <f>VLOOKUP(L6,J7:P58,R2,FALSE)</f>
        <v>#N/A</v>
      </c>
      <c r="S6" s="1">
        <f t="shared" si="3"/>
        <v>1</v>
      </c>
      <c r="T6" s="1">
        <v>205</v>
      </c>
      <c r="V6" s="1" t="s">
        <v>51</v>
      </c>
    </row>
    <row r="7" spans="1:22" x14ac:dyDescent="0.3">
      <c r="A7" s="1">
        <f t="shared" si="2"/>
        <v>1206</v>
      </c>
      <c r="B7" s="57" t="s">
        <v>10</v>
      </c>
      <c r="C7" s="57"/>
      <c r="D7" s="62" t="s">
        <v>129</v>
      </c>
      <c r="E7" s="56"/>
      <c r="F7" s="56"/>
      <c r="G7" s="56"/>
      <c r="H7" s="56"/>
      <c r="J7" s="1">
        <v>13</v>
      </c>
      <c r="M7" s="1" t="s">
        <v>2</v>
      </c>
      <c r="N7" s="1" t="s">
        <v>3</v>
      </c>
      <c r="O7" s="1" t="s">
        <v>4</v>
      </c>
      <c r="P7" s="1" t="s">
        <v>5</v>
      </c>
      <c r="S7" s="1">
        <f t="shared" si="3"/>
        <v>1</v>
      </c>
      <c r="T7" s="1">
        <v>206</v>
      </c>
      <c r="V7" s="1" t="s">
        <v>52</v>
      </c>
    </row>
    <row r="8" spans="1:22" x14ac:dyDescent="0.3">
      <c r="A8" s="1">
        <f t="shared" si="2"/>
        <v>1207</v>
      </c>
      <c r="B8" s="57" t="s">
        <v>11</v>
      </c>
      <c r="C8" s="57"/>
      <c r="D8" s="63">
        <v>45559</v>
      </c>
      <c r="E8" s="63"/>
      <c r="F8" s="63"/>
      <c r="G8" s="63"/>
      <c r="H8" s="63"/>
      <c r="J8" s="1" t="str">
        <f>CONCATENATE(J7,"1")</f>
        <v>131</v>
      </c>
      <c r="M8" s="1" t="e">
        <f t="array" ref="M8:P10">LINEST($B18:$B32,$C18:$C32^{1,2,3},TRUE,TRUE)</f>
        <v>#VALUE!</v>
      </c>
      <c r="N8" s="1" t="e">
        <v>#VALUE!</v>
      </c>
      <c r="O8" s="1" t="e">
        <v>#VALUE!</v>
      </c>
      <c r="P8" s="1" t="e">
        <v>#VALUE!</v>
      </c>
      <c r="S8" s="1">
        <f t="shared" si="3"/>
        <v>1</v>
      </c>
      <c r="T8" s="1">
        <v>207</v>
      </c>
      <c r="V8" s="1" t="s">
        <v>53</v>
      </c>
    </row>
    <row r="9" spans="1:22" x14ac:dyDescent="0.3">
      <c r="A9" s="1">
        <f t="shared" si="2"/>
        <v>1208</v>
      </c>
      <c r="B9" s="57" t="s">
        <v>12</v>
      </c>
      <c r="C9" s="57"/>
      <c r="D9" s="58">
        <f>D8+365</f>
        <v>45924</v>
      </c>
      <c r="E9" s="58"/>
      <c r="F9" s="58"/>
      <c r="G9" s="58"/>
      <c r="H9" s="58"/>
      <c r="J9" s="1" t="str">
        <f>CONCATENATE(J7,"2")</f>
        <v>132</v>
      </c>
      <c r="M9" s="1" t="e">
        <v>#VALUE!</v>
      </c>
      <c r="N9" s="1" t="e">
        <v>#VALUE!</v>
      </c>
      <c r="O9" s="1" t="e">
        <v>#VALUE!</v>
      </c>
      <c r="P9" s="1" t="e">
        <v>#VALUE!</v>
      </c>
      <c r="S9" s="1">
        <f t="shared" si="3"/>
        <v>1</v>
      </c>
      <c r="T9" s="1">
        <v>208</v>
      </c>
      <c r="V9" s="1" t="s">
        <v>54</v>
      </c>
    </row>
    <row r="10" spans="1:22" x14ac:dyDescent="0.3">
      <c r="A10" s="1">
        <f t="shared" si="2"/>
        <v>1209</v>
      </c>
      <c r="B10" s="57" t="s">
        <v>13</v>
      </c>
      <c r="C10" s="57"/>
      <c r="D10" s="9">
        <v>0.01</v>
      </c>
      <c r="E10" s="54" t="s">
        <v>14</v>
      </c>
      <c r="F10" s="54"/>
      <c r="G10" s="54"/>
      <c r="H10" s="9" t="s">
        <v>59</v>
      </c>
      <c r="J10" s="1" t="str">
        <f>CONCATENATE(J7,"3")</f>
        <v>133</v>
      </c>
      <c r="M10" s="1" t="e">
        <v>#VALUE!</v>
      </c>
      <c r="N10" s="1" t="e">
        <v>#VALUE!</v>
      </c>
      <c r="O10" s="1" t="e">
        <v>#VALUE!</v>
      </c>
      <c r="P10" s="1" t="e">
        <v>#VALUE!</v>
      </c>
      <c r="S10" s="1">
        <f t="shared" si="3"/>
        <v>1</v>
      </c>
      <c r="T10" s="1">
        <v>209</v>
      </c>
      <c r="V10" s="1" t="s">
        <v>55</v>
      </c>
    </row>
    <row r="11" spans="1:22" x14ac:dyDescent="0.3">
      <c r="A11" s="1">
        <f t="shared" si="2"/>
        <v>1210</v>
      </c>
      <c r="B11" s="57" t="s">
        <v>15</v>
      </c>
      <c r="C11" s="57"/>
      <c r="D11" s="2">
        <f>MIN(B18:B32)</f>
        <v>500.04</v>
      </c>
      <c r="E11" s="4" t="s">
        <v>16</v>
      </c>
      <c r="F11" s="2">
        <f>MAX(B18:B32)</f>
        <v>1099.1500000000001</v>
      </c>
      <c r="G11" s="5" t="str">
        <f>IF(H10="","",H10)</f>
        <v>hPa</v>
      </c>
      <c r="H11" s="23"/>
      <c r="J11" s="1">
        <f>J7-1</f>
        <v>12</v>
      </c>
      <c r="M11" s="1" t="s">
        <v>2</v>
      </c>
      <c r="N11" s="1" t="s">
        <v>3</v>
      </c>
      <c r="O11" s="1" t="s">
        <v>4</v>
      </c>
      <c r="P11" s="1" t="s">
        <v>5</v>
      </c>
      <c r="S11" s="1">
        <f t="shared" si="3"/>
        <v>1</v>
      </c>
      <c r="T11" s="1">
        <v>210</v>
      </c>
      <c r="V11" s="1" t="s">
        <v>56</v>
      </c>
    </row>
    <row r="12" spans="1:22" x14ac:dyDescent="0.3">
      <c r="A12" s="1">
        <f t="shared" si="2"/>
        <v>1211</v>
      </c>
      <c r="J12" s="1" t="str">
        <f>CONCATENATE(J11,"1")</f>
        <v>121</v>
      </c>
      <c r="M12" s="1" t="e">
        <f t="array" ref="M12:P14">LINEST($B18:$B31,$C18:$C31^{1,2,3},TRUE,TRUE)</f>
        <v>#VALUE!</v>
      </c>
      <c r="N12" s="1" t="e">
        <v>#VALUE!</v>
      </c>
      <c r="O12" s="1" t="e">
        <v>#VALUE!</v>
      </c>
      <c r="P12" s="1" t="e">
        <v>#VALUE!</v>
      </c>
      <c r="S12" s="1">
        <f t="shared" si="3"/>
        <v>1</v>
      </c>
      <c r="T12" s="1">
        <v>211</v>
      </c>
      <c r="V12" s="1" t="s">
        <v>57</v>
      </c>
    </row>
    <row r="13" spans="1:22" x14ac:dyDescent="0.3">
      <c r="A13" s="1">
        <f t="shared" si="2"/>
        <v>1212</v>
      </c>
      <c r="B13" s="59" t="s">
        <v>17</v>
      </c>
      <c r="C13" s="59"/>
      <c r="D13" s="59"/>
      <c r="E13" s="59"/>
      <c r="F13" s="59"/>
      <c r="G13" s="60" t="s">
        <v>29</v>
      </c>
      <c r="H13" s="61"/>
      <c r="J13" s="1" t="str">
        <f>CONCATENATE(J11,"2")</f>
        <v>122</v>
      </c>
      <c r="M13" s="1" t="e">
        <v>#VALUE!</v>
      </c>
      <c r="N13" s="1" t="e">
        <v>#VALUE!</v>
      </c>
      <c r="O13" s="1" t="e">
        <v>#VALUE!</v>
      </c>
      <c r="P13" s="1" t="e">
        <v>#VALUE!</v>
      </c>
      <c r="S13" s="1">
        <f t="shared" si="3"/>
        <v>1</v>
      </c>
      <c r="T13" s="1">
        <v>212</v>
      </c>
      <c r="V13" s="1" t="s">
        <v>58</v>
      </c>
    </row>
    <row r="14" spans="1:22" x14ac:dyDescent="0.3">
      <c r="A14" s="1">
        <f t="shared" si="2"/>
        <v>1213</v>
      </c>
      <c r="B14" s="54" t="s">
        <v>18</v>
      </c>
      <c r="C14" s="54"/>
      <c r="D14" s="54"/>
      <c r="E14" s="54" t="str">
        <f>IF(D7="","",D7)</f>
        <v>E0369B/24</v>
      </c>
      <c r="F14" s="54"/>
      <c r="G14" s="5" t="s">
        <v>18</v>
      </c>
      <c r="H14" s="20" t="s">
        <v>102</v>
      </c>
      <c r="J14" s="1" t="str">
        <f>CONCATENATE(J11,"3")</f>
        <v>123</v>
      </c>
      <c r="M14" s="1" t="e">
        <v>#VALUE!</v>
      </c>
      <c r="N14" s="1" t="e">
        <v>#VALUE!</v>
      </c>
      <c r="O14" s="1" t="e">
        <v>#VALUE!</v>
      </c>
      <c r="P14" s="1" t="e">
        <v>#VALUE!</v>
      </c>
      <c r="S14" s="1">
        <f t="shared" si="3"/>
        <v>1</v>
      </c>
      <c r="T14" s="1">
        <v>213</v>
      </c>
      <c r="V14" s="1" t="s">
        <v>59</v>
      </c>
    </row>
    <row r="15" spans="1:22" ht="15" customHeight="1" x14ac:dyDescent="0.3">
      <c r="A15" s="1">
        <f t="shared" si="2"/>
        <v>1214</v>
      </c>
      <c r="B15" s="6" t="s">
        <v>19</v>
      </c>
      <c r="C15" s="6" t="s">
        <v>20</v>
      </c>
      <c r="D15" s="6" t="s">
        <v>21</v>
      </c>
      <c r="E15" s="6"/>
      <c r="F15" s="55" t="s">
        <v>31</v>
      </c>
      <c r="G15" s="6" t="s">
        <v>19</v>
      </c>
      <c r="H15" s="6" t="s">
        <v>20</v>
      </c>
      <c r="J15" s="1">
        <f>J11-1</f>
        <v>11</v>
      </c>
      <c r="M15" s="1" t="s">
        <v>2</v>
      </c>
      <c r="N15" s="1" t="s">
        <v>3</v>
      </c>
      <c r="O15" s="1" t="s">
        <v>4</v>
      </c>
      <c r="P15" s="1" t="s">
        <v>5</v>
      </c>
      <c r="S15" s="1">
        <f t="shared" si="3"/>
        <v>1</v>
      </c>
      <c r="T15" s="1">
        <v>214</v>
      </c>
      <c r="V15" s="1" t="s">
        <v>60</v>
      </c>
    </row>
    <row r="16" spans="1:22" x14ac:dyDescent="0.3">
      <c r="A16" s="1">
        <f t="shared" si="2"/>
        <v>1215</v>
      </c>
      <c r="B16" s="6" t="s">
        <v>22</v>
      </c>
      <c r="C16" s="6" t="s">
        <v>23</v>
      </c>
      <c r="D16" s="6" t="s">
        <v>24</v>
      </c>
      <c r="E16" s="6" t="s">
        <v>30</v>
      </c>
      <c r="F16" s="55"/>
      <c r="G16" s="6" t="s">
        <v>22</v>
      </c>
      <c r="H16" s="6" t="s">
        <v>23</v>
      </c>
      <c r="J16" s="1" t="str">
        <f>CONCATENATE(J15,"1")</f>
        <v>111</v>
      </c>
      <c r="M16" s="1" t="e">
        <f t="array" ref="M16:P18">LINEST($B18:$B30,$C18:$C30^{1,2,3},TRUE,TRUE)</f>
        <v>#VALUE!</v>
      </c>
      <c r="N16" s="1" t="e">
        <v>#VALUE!</v>
      </c>
      <c r="O16" s="1" t="e">
        <v>#VALUE!</v>
      </c>
      <c r="P16" s="1" t="e">
        <v>#VALUE!</v>
      </c>
      <c r="S16" s="1">
        <f t="shared" si="3"/>
        <v>1</v>
      </c>
      <c r="T16" s="1">
        <v>215</v>
      </c>
      <c r="V16" s="1" t="s">
        <v>61</v>
      </c>
    </row>
    <row r="17" spans="1:22" x14ac:dyDescent="0.3">
      <c r="A17" s="1">
        <f t="shared" si="2"/>
        <v>1216</v>
      </c>
      <c r="B17" s="7" t="str">
        <f>IF(H10="","",H10)</f>
        <v>hPa</v>
      </c>
      <c r="C17" s="7" t="str">
        <f>IF(H10="","",H10)</f>
        <v>hPa</v>
      </c>
      <c r="D17" s="7" t="str">
        <f>IF(H10="","",H10)</f>
        <v>hPa</v>
      </c>
      <c r="E17" s="7"/>
      <c r="F17" s="7" t="str">
        <f>IF(I10="","",I10)</f>
        <v/>
      </c>
      <c r="G17" s="7" t="str">
        <f>IF(H10="","",H10)</f>
        <v>hPa</v>
      </c>
      <c r="H17" s="7" t="str">
        <f>IF(H10="","",H10)</f>
        <v>hPa</v>
      </c>
      <c r="J17" s="1" t="str">
        <f>CONCATENATE(J15,"2")</f>
        <v>112</v>
      </c>
      <c r="M17" s="1" t="e">
        <v>#VALUE!</v>
      </c>
      <c r="N17" s="1" t="e">
        <v>#VALUE!</v>
      </c>
      <c r="O17" s="1" t="e">
        <v>#VALUE!</v>
      </c>
      <c r="P17" s="1" t="e">
        <v>#VALUE!</v>
      </c>
      <c r="S17" s="1">
        <f t="shared" si="3"/>
        <v>1</v>
      </c>
      <c r="T17" s="1">
        <v>216</v>
      </c>
      <c r="V17" s="1" t="s">
        <v>62</v>
      </c>
    </row>
    <row r="18" spans="1:22" x14ac:dyDescent="0.3">
      <c r="A18" s="1">
        <f t="shared" si="2"/>
        <v>1217</v>
      </c>
      <c r="B18" s="24">
        <v>500.04</v>
      </c>
      <c r="C18" s="24">
        <v>500.54</v>
      </c>
      <c r="D18" s="24">
        <v>0.06</v>
      </c>
      <c r="E18" s="24">
        <v>2</v>
      </c>
      <c r="F18" s="24">
        <v>1000000</v>
      </c>
      <c r="G18" s="25">
        <v>500</v>
      </c>
      <c r="H18" s="25">
        <v>500.43</v>
      </c>
      <c r="J18" s="1" t="str">
        <f>CONCATENATE(J15,"3")</f>
        <v>113</v>
      </c>
      <c r="M18" s="1" t="e">
        <v>#VALUE!</v>
      </c>
      <c r="N18" s="1" t="e">
        <v>#VALUE!</v>
      </c>
      <c r="O18" s="1" t="e">
        <v>#VALUE!</v>
      </c>
      <c r="P18" s="1" t="e">
        <v>#VALUE!</v>
      </c>
      <c r="S18" s="1">
        <f t="shared" si="3"/>
        <v>1</v>
      </c>
      <c r="T18" s="1">
        <v>217</v>
      </c>
      <c r="V18" s="1" t="s">
        <v>63</v>
      </c>
    </row>
    <row r="19" spans="1:22" x14ac:dyDescent="0.3">
      <c r="A19" s="1">
        <f t="shared" si="2"/>
        <v>1218</v>
      </c>
      <c r="B19" s="24">
        <v>620.07000000000005</v>
      </c>
      <c r="C19" s="24">
        <v>620.51</v>
      </c>
      <c r="D19" s="24">
        <v>0.06</v>
      </c>
      <c r="E19" s="24">
        <v>2</v>
      </c>
      <c r="F19" s="24">
        <v>1000000</v>
      </c>
      <c r="G19" s="25">
        <v>619.61</v>
      </c>
      <c r="H19" s="25">
        <v>620</v>
      </c>
      <c r="J19" s="1">
        <f t="shared" ref="J19" si="4">J15-1</f>
        <v>10</v>
      </c>
      <c r="M19" s="1" t="s">
        <v>2</v>
      </c>
      <c r="N19" s="1" t="s">
        <v>3</v>
      </c>
      <c r="O19" s="1" t="s">
        <v>4</v>
      </c>
      <c r="P19" s="1" t="s">
        <v>5</v>
      </c>
      <c r="S19" s="1">
        <f t="shared" si="3"/>
        <v>1</v>
      </c>
      <c r="T19" s="1">
        <v>218</v>
      </c>
      <c r="V19" s="1" t="s">
        <v>64</v>
      </c>
    </row>
    <row r="20" spans="1:22" x14ac:dyDescent="0.3">
      <c r="A20" s="1">
        <f t="shared" si="2"/>
        <v>1219</v>
      </c>
      <c r="B20" s="24">
        <v>740.11</v>
      </c>
      <c r="C20" s="24">
        <v>740.49</v>
      </c>
      <c r="D20" s="24">
        <v>0.08</v>
      </c>
      <c r="E20" s="24">
        <v>2</v>
      </c>
      <c r="F20" s="24">
        <v>1000000</v>
      </c>
      <c r="G20" s="25">
        <v>739.63</v>
      </c>
      <c r="H20" s="25">
        <v>740</v>
      </c>
      <c r="J20" s="1" t="str">
        <f t="shared" ref="J20" si="5">CONCATENATE(J19,"1")</f>
        <v>101</v>
      </c>
      <c r="M20" s="1" t="e">
        <f t="array" ref="M20:P22">LINEST($B18:$B29,$C18:$C29^{1,2,3},TRUE,TRUE)</f>
        <v>#VALUE!</v>
      </c>
      <c r="N20" s="1" t="e">
        <v>#VALUE!</v>
      </c>
      <c r="O20" s="1" t="e">
        <v>#VALUE!</v>
      </c>
      <c r="P20" s="1" t="e">
        <v>#VALUE!</v>
      </c>
      <c r="S20" s="1">
        <f t="shared" si="3"/>
        <v>1</v>
      </c>
      <c r="T20" s="1">
        <v>219</v>
      </c>
      <c r="V20" s="1" t="s">
        <v>65</v>
      </c>
    </row>
    <row r="21" spans="1:22" x14ac:dyDescent="0.3">
      <c r="A21" s="1">
        <f t="shared" si="2"/>
        <v>1220</v>
      </c>
      <c r="B21" s="24">
        <v>860.13</v>
      </c>
      <c r="C21" s="24">
        <v>860.42</v>
      </c>
      <c r="D21" s="24">
        <v>0.09</v>
      </c>
      <c r="E21" s="24">
        <v>2</v>
      </c>
      <c r="F21" s="24">
        <v>1000000</v>
      </c>
      <c r="G21" s="25">
        <v>859.73</v>
      </c>
      <c r="H21" s="25">
        <v>860</v>
      </c>
      <c r="J21" s="1" t="str">
        <f t="shared" ref="J21" si="6">CONCATENATE(J19,"2")</f>
        <v>102</v>
      </c>
      <c r="M21" s="1" t="e">
        <v>#VALUE!</v>
      </c>
      <c r="N21" s="1" t="e">
        <v>#VALUE!</v>
      </c>
      <c r="O21" s="1" t="e">
        <v>#VALUE!</v>
      </c>
      <c r="P21" s="1" t="e">
        <v>#VALUE!</v>
      </c>
      <c r="S21" s="1">
        <f t="shared" si="3"/>
        <v>1</v>
      </c>
      <c r="T21" s="1">
        <v>220</v>
      </c>
      <c r="V21" s="1" t="s">
        <v>66</v>
      </c>
    </row>
    <row r="22" spans="1:22" x14ac:dyDescent="0.3">
      <c r="A22" s="1">
        <f t="shared" si="2"/>
        <v>1221</v>
      </c>
      <c r="B22" s="24">
        <v>980.15</v>
      </c>
      <c r="C22" s="24">
        <v>980.39</v>
      </c>
      <c r="D22" s="24">
        <v>0.1</v>
      </c>
      <c r="E22" s="24">
        <v>2</v>
      </c>
      <c r="F22" s="24">
        <v>1000000</v>
      </c>
      <c r="G22" s="25">
        <v>979.78</v>
      </c>
      <c r="H22" s="25">
        <v>980</v>
      </c>
      <c r="J22" s="1" t="str">
        <f t="shared" ref="J22" si="7">CONCATENATE(J19,"3")</f>
        <v>103</v>
      </c>
      <c r="M22" s="1" t="e">
        <v>#VALUE!</v>
      </c>
      <c r="N22" s="1" t="e">
        <v>#VALUE!</v>
      </c>
      <c r="O22" s="1" t="e">
        <v>#VALUE!</v>
      </c>
      <c r="P22" s="1" t="e">
        <v>#VALUE!</v>
      </c>
      <c r="S22" s="1">
        <f t="shared" si="3"/>
        <v>1</v>
      </c>
      <c r="T22" s="1">
        <v>221</v>
      </c>
      <c r="V22" s="1" t="s">
        <v>67</v>
      </c>
    </row>
    <row r="23" spans="1:22" x14ac:dyDescent="0.3">
      <c r="A23" s="1">
        <f t="shared" si="2"/>
        <v>1222</v>
      </c>
      <c r="B23" s="24">
        <v>1099.1500000000001</v>
      </c>
      <c r="C23" s="24">
        <v>1099.3599999999999</v>
      </c>
      <c r="D23" s="24">
        <v>0.11</v>
      </c>
      <c r="E23" s="24">
        <v>2</v>
      </c>
      <c r="F23" s="24">
        <v>1000000</v>
      </c>
      <c r="G23" s="25">
        <v>1099.82</v>
      </c>
      <c r="H23" s="25">
        <v>1100</v>
      </c>
      <c r="J23" s="1">
        <f t="shared" ref="J23" si="8">J19-1</f>
        <v>9</v>
      </c>
      <c r="M23" s="1" t="s">
        <v>2</v>
      </c>
      <c r="N23" s="1" t="s">
        <v>3</v>
      </c>
      <c r="O23" s="1" t="s">
        <v>4</v>
      </c>
      <c r="P23" s="1" t="s">
        <v>5</v>
      </c>
      <c r="S23" s="1">
        <f t="shared" si="3"/>
        <v>1</v>
      </c>
      <c r="T23" s="1">
        <v>222</v>
      </c>
      <c r="V23" s="1" t="s">
        <v>68</v>
      </c>
    </row>
    <row r="24" spans="1:22" x14ac:dyDescent="0.3">
      <c r="A24" s="1">
        <f t="shared" si="2"/>
        <v>1223</v>
      </c>
      <c r="B24" s="24"/>
      <c r="C24" s="24"/>
      <c r="D24" s="24"/>
      <c r="E24" s="24"/>
      <c r="F24" s="24"/>
      <c r="G24" s="25"/>
      <c r="H24" s="25"/>
      <c r="J24" s="1" t="str">
        <f t="shared" ref="J24" si="9">CONCATENATE(J23,"1")</f>
        <v>91</v>
      </c>
      <c r="M24" s="1" t="e">
        <f t="array" ref="M24:P26">LINEST($B18:$B28,$C18:$C28^{1,2,3},TRUE,TRUE)</f>
        <v>#VALUE!</v>
      </c>
      <c r="N24" s="1" t="e">
        <v>#VALUE!</v>
      </c>
      <c r="O24" s="1" t="e">
        <v>#VALUE!</v>
      </c>
      <c r="P24" s="1" t="e">
        <v>#VALUE!</v>
      </c>
      <c r="S24" s="1">
        <f t="shared" si="3"/>
        <v>1</v>
      </c>
      <c r="T24" s="1">
        <v>223</v>
      </c>
      <c r="V24" s="1" t="s">
        <v>69</v>
      </c>
    </row>
    <row r="25" spans="1:22" x14ac:dyDescent="0.3">
      <c r="A25" s="1">
        <f t="shared" si="2"/>
        <v>1224</v>
      </c>
      <c r="B25" s="24"/>
      <c r="C25" s="24"/>
      <c r="D25" s="24"/>
      <c r="E25" s="24"/>
      <c r="F25" s="24"/>
      <c r="G25" s="25"/>
      <c r="H25" s="25"/>
      <c r="J25" s="1" t="str">
        <f t="shared" ref="J25" si="10">CONCATENATE(J23,"2")</f>
        <v>92</v>
      </c>
      <c r="M25" s="1" t="e">
        <v>#VALUE!</v>
      </c>
      <c r="N25" s="1" t="e">
        <v>#VALUE!</v>
      </c>
      <c r="O25" s="1" t="e">
        <v>#VALUE!</v>
      </c>
      <c r="P25" s="1" t="e">
        <v>#VALUE!</v>
      </c>
      <c r="S25" s="1">
        <f t="shared" si="3"/>
        <v>1</v>
      </c>
      <c r="T25" s="1">
        <v>224</v>
      </c>
      <c r="V25" s="1" t="s">
        <v>70</v>
      </c>
    </row>
    <row r="26" spans="1:22" x14ac:dyDescent="0.3">
      <c r="A26" s="1">
        <f t="shared" si="2"/>
        <v>1225</v>
      </c>
      <c r="B26" s="24"/>
      <c r="C26" s="24"/>
      <c r="D26" s="24"/>
      <c r="E26" s="24"/>
      <c r="F26" s="24"/>
      <c r="G26" s="25"/>
      <c r="H26" s="25"/>
      <c r="J26" s="1" t="str">
        <f t="shared" ref="J26" si="11">CONCATENATE(J23,"3")</f>
        <v>93</v>
      </c>
      <c r="M26" s="1" t="e">
        <v>#VALUE!</v>
      </c>
      <c r="N26" s="1" t="e">
        <v>#VALUE!</v>
      </c>
      <c r="O26" s="1" t="e">
        <v>#VALUE!</v>
      </c>
      <c r="P26" s="1" t="e">
        <v>#VALUE!</v>
      </c>
      <c r="S26" s="1">
        <f t="shared" si="3"/>
        <v>1</v>
      </c>
      <c r="T26" s="1">
        <v>225</v>
      </c>
      <c r="V26" s="1" t="s">
        <v>71</v>
      </c>
    </row>
    <row r="27" spans="1:22" x14ac:dyDescent="0.3">
      <c r="A27" s="1">
        <f t="shared" si="2"/>
        <v>1226</v>
      </c>
      <c r="B27" s="24"/>
      <c r="C27" s="24"/>
      <c r="D27" s="24"/>
      <c r="E27" s="24"/>
      <c r="F27" s="24"/>
      <c r="G27" s="25"/>
      <c r="H27" s="25"/>
      <c r="J27" s="1">
        <f t="shared" ref="J27" si="12">J23-1</f>
        <v>8</v>
      </c>
      <c r="M27" s="1" t="s">
        <v>2</v>
      </c>
      <c r="N27" s="1" t="s">
        <v>3</v>
      </c>
      <c r="O27" s="1" t="s">
        <v>4</v>
      </c>
      <c r="P27" s="1" t="s">
        <v>5</v>
      </c>
      <c r="S27" s="1">
        <f t="shared" si="3"/>
        <v>1</v>
      </c>
      <c r="T27" s="1">
        <v>226</v>
      </c>
      <c r="V27" s="1" t="s">
        <v>72</v>
      </c>
    </row>
    <row r="28" spans="1:22" x14ac:dyDescent="0.3">
      <c r="A28" s="1">
        <f t="shared" si="2"/>
        <v>1227</v>
      </c>
      <c r="B28" s="24"/>
      <c r="C28" s="24"/>
      <c r="D28" s="24"/>
      <c r="E28" s="24"/>
      <c r="F28" s="24"/>
      <c r="G28" s="25"/>
      <c r="H28" s="25"/>
      <c r="J28" s="1" t="str">
        <f t="shared" ref="J28" si="13">CONCATENATE(J27,"1")</f>
        <v>81</v>
      </c>
      <c r="M28" s="1" t="e">
        <f t="array" ref="M28:P30">LINEST($B18:$B27,$C18:$C27^{1,2,3},TRUE,TRUE)</f>
        <v>#VALUE!</v>
      </c>
      <c r="N28" s="1" t="e">
        <v>#VALUE!</v>
      </c>
      <c r="O28" s="1" t="e">
        <v>#VALUE!</v>
      </c>
      <c r="P28" s="1" t="e">
        <v>#VALUE!</v>
      </c>
      <c r="S28" s="1">
        <f t="shared" si="3"/>
        <v>1</v>
      </c>
      <c r="T28" s="1">
        <v>227</v>
      </c>
      <c r="V28" s="1" t="s">
        <v>73</v>
      </c>
    </row>
    <row r="29" spans="1:22" x14ac:dyDescent="0.3">
      <c r="A29" s="1">
        <f t="shared" si="2"/>
        <v>1228</v>
      </c>
      <c r="B29" s="24"/>
      <c r="C29" s="24"/>
      <c r="D29" s="24"/>
      <c r="E29" s="24"/>
      <c r="F29" s="24"/>
      <c r="G29" s="25"/>
      <c r="H29" s="25"/>
      <c r="J29" s="1" t="str">
        <f t="shared" ref="J29" si="14">CONCATENATE(J27,"2")</f>
        <v>82</v>
      </c>
      <c r="M29" s="1" t="e">
        <v>#VALUE!</v>
      </c>
      <c r="N29" s="1" t="e">
        <v>#VALUE!</v>
      </c>
      <c r="O29" s="1" t="e">
        <v>#VALUE!</v>
      </c>
      <c r="P29" s="1" t="e">
        <v>#VALUE!</v>
      </c>
      <c r="S29" s="1">
        <f t="shared" si="3"/>
        <v>1</v>
      </c>
      <c r="T29" s="1">
        <v>228</v>
      </c>
      <c r="V29" s="1" t="s">
        <v>74</v>
      </c>
    </row>
    <row r="30" spans="1:22" x14ac:dyDescent="0.3">
      <c r="A30" s="1">
        <f t="shared" si="2"/>
        <v>1229</v>
      </c>
      <c r="B30" s="24"/>
      <c r="C30" s="24"/>
      <c r="D30" s="24"/>
      <c r="E30" s="24"/>
      <c r="F30" s="24"/>
      <c r="G30" s="25"/>
      <c r="H30" s="25"/>
      <c r="J30" s="1" t="str">
        <f t="shared" ref="J30" si="15">CONCATENATE(J27,"3")</f>
        <v>83</v>
      </c>
      <c r="M30" s="1" t="e">
        <v>#VALUE!</v>
      </c>
      <c r="N30" s="1" t="e">
        <v>#VALUE!</v>
      </c>
      <c r="O30" s="1" t="e">
        <v>#VALUE!</v>
      </c>
      <c r="P30" s="1" t="e">
        <v>#VALUE!</v>
      </c>
      <c r="S30" s="1">
        <f t="shared" si="3"/>
        <v>1</v>
      </c>
      <c r="T30" s="1">
        <v>229</v>
      </c>
      <c r="V30" s="1" t="s">
        <v>75</v>
      </c>
    </row>
    <row r="31" spans="1:22" x14ac:dyDescent="0.3">
      <c r="A31" s="1">
        <f t="shared" si="2"/>
        <v>1230</v>
      </c>
      <c r="B31" s="24"/>
      <c r="C31" s="24"/>
      <c r="D31" s="24"/>
      <c r="E31" s="24"/>
      <c r="F31" s="24"/>
      <c r="G31" s="25"/>
      <c r="H31" s="25"/>
      <c r="J31" s="1">
        <f t="shared" ref="J31" si="16">J27-1</f>
        <v>7</v>
      </c>
      <c r="M31" s="1" t="s">
        <v>2</v>
      </c>
      <c r="N31" s="1" t="s">
        <v>3</v>
      </c>
      <c r="O31" s="1" t="s">
        <v>4</v>
      </c>
      <c r="P31" s="1" t="s">
        <v>5</v>
      </c>
      <c r="S31" s="1">
        <f t="shared" si="3"/>
        <v>1</v>
      </c>
      <c r="T31" s="1">
        <v>230</v>
      </c>
      <c r="V31" s="1" t="s">
        <v>76</v>
      </c>
    </row>
    <row r="32" spans="1:22" x14ac:dyDescent="0.3">
      <c r="A32" s="1">
        <f t="shared" si="2"/>
        <v>1231</v>
      </c>
      <c r="B32" s="24"/>
      <c r="C32" s="24"/>
      <c r="D32" s="24"/>
      <c r="E32" s="24"/>
      <c r="F32" s="24"/>
      <c r="G32" s="25"/>
      <c r="H32" s="25"/>
      <c r="J32" s="1" t="str">
        <f t="shared" ref="J32" si="17">CONCATENATE(J31,"1")</f>
        <v>71</v>
      </c>
      <c r="M32" s="1" t="e">
        <f t="array" ref="M32:P34">LINEST($B18:$B26,$C18:$C26^{1,2,3},TRUE,TRUE)</f>
        <v>#VALUE!</v>
      </c>
      <c r="N32" s="1" t="e">
        <v>#VALUE!</v>
      </c>
      <c r="O32" s="1" t="e">
        <v>#VALUE!</v>
      </c>
      <c r="P32" s="1" t="e">
        <v>#VALUE!</v>
      </c>
      <c r="S32" s="1">
        <f t="shared" si="3"/>
        <v>1</v>
      </c>
      <c r="T32" s="1">
        <v>231</v>
      </c>
      <c r="V32" s="1" t="s">
        <v>77</v>
      </c>
    </row>
    <row r="33" spans="1:22" x14ac:dyDescent="0.3">
      <c r="A33" s="1">
        <f t="shared" si="2"/>
        <v>1232</v>
      </c>
      <c r="B33" s="2">
        <f>COUNT(B18:B32)-2</f>
        <v>4</v>
      </c>
      <c r="J33" s="1" t="str">
        <f t="shared" ref="J33" si="18">CONCATENATE(J31,"2")</f>
        <v>72</v>
      </c>
      <c r="M33" s="1" t="e">
        <v>#VALUE!</v>
      </c>
      <c r="N33" s="1" t="e">
        <v>#VALUE!</v>
      </c>
      <c r="O33" s="1" t="e">
        <v>#VALUE!</v>
      </c>
      <c r="P33" s="1" t="e">
        <v>#VALUE!</v>
      </c>
      <c r="S33" s="1">
        <f t="shared" si="3"/>
        <v>1</v>
      </c>
      <c r="T33" s="1">
        <v>232</v>
      </c>
      <c r="V33" s="1" t="s">
        <v>78</v>
      </c>
    </row>
    <row r="34" spans="1:22" x14ac:dyDescent="0.3">
      <c r="A34" s="1">
        <f t="shared" si="2"/>
        <v>1233</v>
      </c>
      <c r="J34" s="1" t="str">
        <f t="shared" ref="J34" si="19">CONCATENATE(J31,"3")</f>
        <v>73</v>
      </c>
      <c r="M34" s="1" t="e">
        <v>#VALUE!</v>
      </c>
      <c r="N34" s="1" t="e">
        <v>#VALUE!</v>
      </c>
      <c r="O34" s="1" t="e">
        <v>#VALUE!</v>
      </c>
      <c r="P34" s="1" t="e">
        <v>#VALUE!</v>
      </c>
      <c r="S34" s="1">
        <f t="shared" si="3"/>
        <v>1</v>
      </c>
      <c r="T34" s="1">
        <v>233</v>
      </c>
      <c r="V34" s="1" t="s">
        <v>79</v>
      </c>
    </row>
    <row r="35" spans="1:22" x14ac:dyDescent="0.3">
      <c r="A35" s="1">
        <f t="shared" si="2"/>
        <v>1234</v>
      </c>
      <c r="B35" s="54" t="s">
        <v>25</v>
      </c>
      <c r="C35" s="54"/>
      <c r="D35" s="54"/>
      <c r="E35" s="54"/>
      <c r="F35" s="54"/>
      <c r="G35" s="54"/>
      <c r="H35" s="54"/>
      <c r="J35" s="1">
        <f t="shared" ref="J35" si="20">J31-1</f>
        <v>6</v>
      </c>
      <c r="M35" s="1" t="s">
        <v>2</v>
      </c>
      <c r="N35" s="1" t="s">
        <v>3</v>
      </c>
      <c r="O35" s="1" t="s">
        <v>4</v>
      </c>
      <c r="P35" s="1" t="s">
        <v>5</v>
      </c>
      <c r="S35" s="1">
        <f t="shared" si="3"/>
        <v>1</v>
      </c>
      <c r="T35" s="1">
        <v>234</v>
      </c>
      <c r="V35" s="1" t="s">
        <v>80</v>
      </c>
    </row>
    <row r="36" spans="1:22" x14ac:dyDescent="0.3">
      <c r="A36" s="1">
        <f t="shared" si="2"/>
        <v>1235</v>
      </c>
      <c r="B36" s="56"/>
      <c r="C36" s="56"/>
      <c r="D36" s="56"/>
      <c r="E36" s="56"/>
      <c r="F36" s="56"/>
      <c r="G36" s="56"/>
      <c r="H36" s="56"/>
      <c r="J36" s="1" t="str">
        <f t="shared" ref="J36" si="21">CONCATENATE(J35,"1")</f>
        <v>61</v>
      </c>
      <c r="M36" s="1" t="e">
        <f t="array" ref="M36:P38">LINEST($B18:$B25,$C18:$C25^{1,2,3},TRUE,TRUE)</f>
        <v>#VALUE!</v>
      </c>
      <c r="N36" s="1" t="e">
        <v>#VALUE!</v>
      </c>
      <c r="O36" s="1" t="e">
        <v>#VALUE!</v>
      </c>
      <c r="P36" s="1" t="e">
        <v>#VALUE!</v>
      </c>
      <c r="S36" s="1">
        <f t="shared" si="3"/>
        <v>1</v>
      </c>
      <c r="T36" s="1">
        <v>235</v>
      </c>
      <c r="V36" s="1" t="s">
        <v>81</v>
      </c>
    </row>
    <row r="37" spans="1:22" x14ac:dyDescent="0.3">
      <c r="A37" s="1">
        <f t="shared" si="2"/>
        <v>1236</v>
      </c>
      <c r="B37" s="56"/>
      <c r="C37" s="56"/>
      <c r="D37" s="56"/>
      <c r="E37" s="56"/>
      <c r="F37" s="56"/>
      <c r="G37" s="56"/>
      <c r="H37" s="56"/>
      <c r="J37" s="1" t="str">
        <f t="shared" ref="J37" si="22">CONCATENATE(J35,"2")</f>
        <v>62</v>
      </c>
      <c r="M37" s="1" t="e">
        <v>#VALUE!</v>
      </c>
      <c r="N37" s="1" t="e">
        <v>#VALUE!</v>
      </c>
      <c r="O37" s="1" t="e">
        <v>#VALUE!</v>
      </c>
      <c r="P37" s="1" t="e">
        <v>#VALUE!</v>
      </c>
      <c r="S37" s="1">
        <f t="shared" si="3"/>
        <v>1</v>
      </c>
      <c r="T37" s="1">
        <v>236</v>
      </c>
      <c r="V37" s="1" t="s">
        <v>82</v>
      </c>
    </row>
    <row r="38" spans="1:22" x14ac:dyDescent="0.3">
      <c r="A38" s="1">
        <f t="shared" si="2"/>
        <v>1237</v>
      </c>
      <c r="J38" s="1" t="str">
        <f t="shared" ref="J38" si="23">CONCATENATE(J35,"3")</f>
        <v>63</v>
      </c>
      <c r="M38" s="1" t="e">
        <v>#VALUE!</v>
      </c>
      <c r="N38" s="1" t="e">
        <v>#VALUE!</v>
      </c>
      <c r="O38" s="1" t="e">
        <v>#VALUE!</v>
      </c>
      <c r="P38" s="1" t="e">
        <v>#VALUE!</v>
      </c>
      <c r="S38" s="1">
        <f t="shared" si="3"/>
        <v>1</v>
      </c>
      <c r="T38" s="1">
        <v>237</v>
      </c>
      <c r="V38" s="1" t="s">
        <v>83</v>
      </c>
    </row>
    <row r="39" spans="1:22" ht="15" customHeight="1" x14ac:dyDescent="0.3">
      <c r="A39" s="1">
        <f t="shared" si="2"/>
        <v>1238</v>
      </c>
      <c r="J39" s="1">
        <f t="shared" ref="J39" si="24">J35-1</f>
        <v>5</v>
      </c>
      <c r="M39" s="1" t="s">
        <v>2</v>
      </c>
      <c r="N39" s="1" t="s">
        <v>3</v>
      </c>
      <c r="O39" s="1" t="s">
        <v>4</v>
      </c>
      <c r="P39" s="1" t="s">
        <v>5</v>
      </c>
      <c r="S39" s="1">
        <f t="shared" si="3"/>
        <v>1</v>
      </c>
      <c r="T39" s="1">
        <v>238</v>
      </c>
      <c r="V39" s="1" t="s">
        <v>84</v>
      </c>
    </row>
    <row r="40" spans="1:22" x14ac:dyDescent="0.3">
      <c r="A40" s="1">
        <f t="shared" si="2"/>
        <v>1239</v>
      </c>
      <c r="J40" s="1" t="str">
        <f t="shared" ref="J40" si="25">CONCATENATE(J39,"1")</f>
        <v>51</v>
      </c>
      <c r="M40" s="1" t="e">
        <f t="array" ref="M40:P42">LINEST($B18:$B24,$C18:$C24^{1,2,3},TRUE,TRUE)</f>
        <v>#VALUE!</v>
      </c>
      <c r="N40" s="1" t="e">
        <v>#VALUE!</v>
      </c>
      <c r="O40" s="1" t="e">
        <v>#VALUE!</v>
      </c>
      <c r="P40" s="1" t="e">
        <v>#VALUE!</v>
      </c>
      <c r="S40" s="1">
        <f t="shared" si="3"/>
        <v>1</v>
      </c>
      <c r="T40" s="1">
        <v>239</v>
      </c>
      <c r="V40" s="1" t="s">
        <v>85</v>
      </c>
    </row>
    <row r="41" spans="1:22" x14ac:dyDescent="0.3">
      <c r="A41" s="1">
        <f t="shared" si="2"/>
        <v>1240</v>
      </c>
      <c r="E41" s="26"/>
      <c r="F41" s="26"/>
      <c r="G41" s="26"/>
      <c r="H41" s="26"/>
      <c r="J41" s="1" t="str">
        <f t="shared" ref="J41" si="26">CONCATENATE(J39,"2")</f>
        <v>52</v>
      </c>
      <c r="M41" s="1" t="e">
        <v>#VALUE!</v>
      </c>
      <c r="N41" s="1" t="e">
        <v>#VALUE!</v>
      </c>
      <c r="O41" s="1" t="e">
        <v>#VALUE!</v>
      </c>
      <c r="P41" s="1" t="e">
        <v>#VALUE!</v>
      </c>
      <c r="S41" s="1">
        <f t="shared" si="3"/>
        <v>1</v>
      </c>
      <c r="T41" s="1">
        <v>240</v>
      </c>
      <c r="V41" s="1" t="s">
        <v>86</v>
      </c>
    </row>
    <row r="42" spans="1:22" x14ac:dyDescent="0.3">
      <c r="A42" s="1">
        <f t="shared" si="2"/>
        <v>1241</v>
      </c>
      <c r="B42" s="54" t="s">
        <v>90</v>
      </c>
      <c r="C42" s="54"/>
      <c r="D42" s="54"/>
      <c r="E42" s="27">
        <f>IF(D4="","",MAX(E43,E44))</f>
        <v>6.9999999999993179E-2</v>
      </c>
      <c r="F42" s="26"/>
      <c r="G42" s="26"/>
      <c r="H42" s="26"/>
      <c r="J42" s="1" t="str">
        <f t="shared" ref="J42" si="27">CONCATENATE(J39,"3")</f>
        <v>53</v>
      </c>
      <c r="M42" s="1" t="e">
        <v>#VALUE!</v>
      </c>
      <c r="N42" s="1" t="e">
        <v>#VALUE!</v>
      </c>
      <c r="O42" s="1" t="e">
        <v>#VALUE!</v>
      </c>
      <c r="P42" s="1" t="e">
        <v>#VALUE!</v>
      </c>
      <c r="S42" s="1">
        <f t="shared" si="3"/>
        <v>1</v>
      </c>
      <c r="T42" s="1">
        <v>241</v>
      </c>
      <c r="V42" s="1" t="s">
        <v>87</v>
      </c>
    </row>
    <row r="43" spans="1:22" x14ac:dyDescent="0.3">
      <c r="A43" s="1">
        <f t="shared" si="2"/>
        <v>1242</v>
      </c>
      <c r="B43" s="2" t="s">
        <v>26</v>
      </c>
      <c r="C43" s="2" t="s">
        <v>27</v>
      </c>
      <c r="D43" s="2" t="s">
        <v>28</v>
      </c>
      <c r="E43" s="28">
        <f>ABS(MIN(D44:D58))</f>
        <v>6.9999999999993179E-2</v>
      </c>
      <c r="F43" s="26"/>
      <c r="H43" s="26"/>
      <c r="J43" s="1">
        <f t="shared" ref="J43" si="28">J39-1</f>
        <v>4</v>
      </c>
      <c r="M43" s="1" t="s">
        <v>2</v>
      </c>
      <c r="N43" s="1" t="s">
        <v>3</v>
      </c>
      <c r="O43" s="1" t="s">
        <v>4</v>
      </c>
      <c r="P43" s="1" t="s">
        <v>5</v>
      </c>
      <c r="S43" s="1">
        <f t="shared" si="3"/>
        <v>1</v>
      </c>
      <c r="T43" s="1">
        <v>242</v>
      </c>
      <c r="V43" s="1" t="s">
        <v>88</v>
      </c>
    </row>
    <row r="44" spans="1:22" x14ac:dyDescent="0.3">
      <c r="A44" s="1">
        <f t="shared" si="2"/>
        <v>1243</v>
      </c>
      <c r="B44" s="2">
        <f>C18-B18</f>
        <v>0.5</v>
      </c>
      <c r="C44" s="2">
        <f t="shared" ref="C44:C58" si="29">H18-G18</f>
        <v>0.43000000000000682</v>
      </c>
      <c r="D44" s="2">
        <f>C44-B44</f>
        <v>-6.9999999999993179E-2</v>
      </c>
      <c r="E44" s="28">
        <f>ABS(MAX(D44:D58))</f>
        <v>0</v>
      </c>
      <c r="F44" s="26"/>
      <c r="H44" s="26"/>
      <c r="J44" s="1" t="str">
        <f t="shared" ref="J44" si="30">CONCATENATE(J43,"1")</f>
        <v>41</v>
      </c>
      <c r="M44" s="1">
        <f t="array" ref="M44:P46">LINEST($B18:$B23,$C18:$C23^{1,2,3},TRUE,TRUE)</f>
        <v>-1.6624347886143584E-9</v>
      </c>
      <c r="N44" s="1">
        <v>3.7566008020070642E-6</v>
      </c>
      <c r="O44" s="1">
        <v>0.99781207801395577</v>
      </c>
      <c r="P44" s="1">
        <v>-0.1364471993613201</v>
      </c>
      <c r="S44" s="1">
        <f t="shared" si="3"/>
        <v>1</v>
      </c>
      <c r="T44" s="1">
        <v>243</v>
      </c>
      <c r="V44" s="1" t="s">
        <v>89</v>
      </c>
    </row>
    <row r="45" spans="1:22" x14ac:dyDescent="0.3">
      <c r="A45" s="1">
        <f t="shared" si="2"/>
        <v>1244</v>
      </c>
      <c r="B45" s="2">
        <f t="shared" ref="B45:B58" si="31">C19-B19</f>
        <v>0.43999999999994088</v>
      </c>
      <c r="C45" s="2">
        <f t="shared" si="29"/>
        <v>0.38999999999998636</v>
      </c>
      <c r="D45" s="2">
        <f t="shared" ref="D45:D58" si="32">C45-B45</f>
        <v>-4.9999999999954525E-2</v>
      </c>
      <c r="E45" s="29" t="s">
        <v>32</v>
      </c>
      <c r="F45" s="26"/>
      <c r="H45" s="26"/>
      <c r="J45" s="1" t="str">
        <f t="shared" ref="J45" si="33">CONCATENATE(J43,"2")</f>
        <v>42</v>
      </c>
      <c r="M45" s="1">
        <v>6.2048656223220042E-10</v>
      </c>
      <c r="N45" s="1">
        <v>1.4922136436130133E-6</v>
      </c>
      <c r="O45" s="1">
        <v>1.1569080129924714E-3</v>
      </c>
      <c r="P45" s="1">
        <v>0.28800324395945848</v>
      </c>
      <c r="S45" s="1">
        <f t="shared" si="3"/>
        <v>1</v>
      </c>
      <c r="T45" s="1">
        <v>244</v>
      </c>
    </row>
    <row r="46" spans="1:22" x14ac:dyDescent="0.3">
      <c r="A46" s="1">
        <f t="shared" si="2"/>
        <v>1245</v>
      </c>
      <c r="B46" s="2">
        <f t="shared" si="31"/>
        <v>0.37999999999999545</v>
      </c>
      <c r="C46" s="2">
        <f t="shared" si="29"/>
        <v>0.37000000000000455</v>
      </c>
      <c r="D46" s="2">
        <f t="shared" si="32"/>
        <v>-9.9999999999909051E-3</v>
      </c>
      <c r="E46" s="27">
        <f>IF(D4="","",MAX(E47,E48))</f>
        <v>0.5</v>
      </c>
      <c r="F46" s="26"/>
      <c r="H46" s="26"/>
      <c r="J46" s="1" t="str">
        <f t="shared" ref="J46" si="34">CONCATENATE(J43,"3")</f>
        <v>43</v>
      </c>
      <c r="M46" s="1">
        <v>0.99999999941493278</v>
      </c>
      <c r="N46" s="1">
        <v>8.577388855574835E-3</v>
      </c>
      <c r="O46" s="1" t="e">
        <v>#N/A</v>
      </c>
      <c r="P46" s="1" t="e">
        <v>#N/A</v>
      </c>
      <c r="S46" s="1">
        <f t="shared" si="3"/>
        <v>1</v>
      </c>
      <c r="T46" s="1">
        <v>245</v>
      </c>
    </row>
    <row r="47" spans="1:22" x14ac:dyDescent="0.3">
      <c r="A47" s="1">
        <f t="shared" si="2"/>
        <v>1246</v>
      </c>
      <c r="B47" s="2">
        <f t="shared" si="31"/>
        <v>0.28999999999996362</v>
      </c>
      <c r="C47" s="2">
        <f t="shared" si="29"/>
        <v>0.26999999999998181</v>
      </c>
      <c r="D47" s="2">
        <f t="shared" si="32"/>
        <v>-1.999999999998181E-2</v>
      </c>
      <c r="E47" s="28">
        <f>ABS(MIN(B44:B58))</f>
        <v>0</v>
      </c>
      <c r="F47" s="26"/>
      <c r="H47" s="26"/>
      <c r="J47" s="1">
        <f t="shared" ref="J47" si="35">J43-1</f>
        <v>3</v>
      </c>
      <c r="M47" s="1" t="s">
        <v>2</v>
      </c>
      <c r="N47" s="1" t="s">
        <v>3</v>
      </c>
      <c r="O47" s="1" t="s">
        <v>4</v>
      </c>
      <c r="P47" s="1" t="s">
        <v>5</v>
      </c>
      <c r="S47" s="1">
        <f t="shared" si="3"/>
        <v>1</v>
      </c>
      <c r="T47" s="1">
        <v>246</v>
      </c>
    </row>
    <row r="48" spans="1:22" x14ac:dyDescent="0.3">
      <c r="A48" s="1">
        <f t="shared" si="2"/>
        <v>1247</v>
      </c>
      <c r="B48" s="2">
        <f t="shared" si="31"/>
        <v>0.24000000000000909</v>
      </c>
      <c r="C48" s="2">
        <f t="shared" si="29"/>
        <v>0.22000000000002728</v>
      </c>
      <c r="D48" s="2">
        <f t="shared" si="32"/>
        <v>-1.999999999998181E-2</v>
      </c>
      <c r="E48" s="28">
        <f>ABS(MAX(B44:B58))</f>
        <v>0.5</v>
      </c>
      <c r="F48" s="26"/>
      <c r="H48" s="26"/>
      <c r="J48" s="1" t="str">
        <f t="shared" ref="J48" si="36">CONCATENATE(J47,"1")</f>
        <v>31</v>
      </c>
      <c r="M48" s="1">
        <f t="array" ref="M48:P50">LINEST($B18:$B22,$C18:$C22^{1,2,3},TRUE,TRUE)</f>
        <v>-1.9314022742076665E-9</v>
      </c>
      <c r="N48" s="1">
        <v>4.3401956152774332E-6</v>
      </c>
      <c r="O48" s="1">
        <v>0.99740238645226431</v>
      </c>
      <c r="P48" s="1">
        <v>-4.354641495447642E-2</v>
      </c>
      <c r="S48" s="1">
        <f t="shared" si="3"/>
        <v>1</v>
      </c>
      <c r="T48" s="1">
        <v>247</v>
      </c>
    </row>
    <row r="49" spans="1:20" x14ac:dyDescent="0.3">
      <c r="A49" s="1">
        <f t="shared" si="2"/>
        <v>1248</v>
      </c>
      <c r="B49" s="2">
        <f t="shared" si="31"/>
        <v>0.20999999999980901</v>
      </c>
      <c r="C49" s="2">
        <f t="shared" si="29"/>
        <v>0.18000000000006366</v>
      </c>
      <c r="D49" s="2">
        <f t="shared" si="32"/>
        <v>-2.9999999999745341E-2</v>
      </c>
      <c r="E49" s="29" t="s">
        <v>33</v>
      </c>
      <c r="F49" s="26"/>
      <c r="J49" s="1" t="str">
        <f t="shared" ref="J49" si="37">CONCATENATE(J47,"2")</f>
        <v>32</v>
      </c>
      <c r="M49" s="1">
        <v>1.826270640199751E-9</v>
      </c>
      <c r="N49" s="1">
        <v>4.0629703753828408E-6</v>
      </c>
      <c r="O49" s="1">
        <v>2.9333265182503359E-3</v>
      </c>
      <c r="P49" s="1">
        <v>0.68550096660347237</v>
      </c>
      <c r="S49" s="1">
        <f t="shared" si="3"/>
        <v>1</v>
      </c>
      <c r="T49" s="1">
        <v>248</v>
      </c>
    </row>
    <row r="50" spans="1:20" x14ac:dyDescent="0.3">
      <c r="A50" s="1">
        <f t="shared" si="2"/>
        <v>1249</v>
      </c>
      <c r="B50" s="2">
        <f t="shared" si="31"/>
        <v>0</v>
      </c>
      <c r="C50" s="2">
        <f t="shared" si="29"/>
        <v>0</v>
      </c>
      <c r="D50" s="2">
        <f t="shared" si="32"/>
        <v>0</v>
      </c>
      <c r="E50" s="27">
        <f>IF(D4="","",MAX(E51,E52))</f>
        <v>0.11</v>
      </c>
      <c r="F50" s="26"/>
      <c r="J50" s="1" t="str">
        <f t="shared" ref="J50" si="38">CONCATENATE(J47,"3")</f>
        <v>33</v>
      </c>
      <c r="M50" s="1">
        <v>0.99999999900644154</v>
      </c>
      <c r="N50" s="1">
        <v>1.1964079453592458E-2</v>
      </c>
      <c r="O50" s="1" t="e">
        <v>#N/A</v>
      </c>
      <c r="P50" s="1" t="e">
        <v>#N/A</v>
      </c>
      <c r="S50" s="1">
        <f t="shared" si="3"/>
        <v>1</v>
      </c>
      <c r="T50" s="1">
        <v>249</v>
      </c>
    </row>
    <row r="51" spans="1:20" x14ac:dyDescent="0.3">
      <c r="A51" s="1">
        <f t="shared" si="2"/>
        <v>1250</v>
      </c>
      <c r="B51" s="2">
        <f t="shared" si="31"/>
        <v>0</v>
      </c>
      <c r="C51" s="2">
        <f t="shared" si="29"/>
        <v>0</v>
      </c>
      <c r="D51" s="2">
        <f t="shared" si="32"/>
        <v>0</v>
      </c>
      <c r="E51" s="28">
        <f>ABS(MIN(D18:D32))</f>
        <v>0.06</v>
      </c>
      <c r="F51" s="26"/>
      <c r="J51" s="1">
        <f t="shared" ref="J51" si="39">J47-1</f>
        <v>2</v>
      </c>
      <c r="N51" s="1" t="s">
        <v>3</v>
      </c>
      <c r="O51" s="1" t="s">
        <v>4</v>
      </c>
      <c r="P51" s="1" t="s">
        <v>5</v>
      </c>
      <c r="S51" s="1">
        <f t="shared" si="3"/>
        <v>1</v>
      </c>
      <c r="T51" s="1">
        <v>250</v>
      </c>
    </row>
    <row r="52" spans="1:20" x14ac:dyDescent="0.3">
      <c r="A52" s="1">
        <f t="shared" si="2"/>
        <v>1251</v>
      </c>
      <c r="B52" s="2">
        <f t="shared" si="31"/>
        <v>0</v>
      </c>
      <c r="C52" s="2">
        <f t="shared" si="29"/>
        <v>0</v>
      </c>
      <c r="D52" s="2">
        <f t="shared" si="32"/>
        <v>0</v>
      </c>
      <c r="E52" s="28">
        <f>ABS(MAX(D18:D32))</f>
        <v>0.11</v>
      </c>
      <c r="F52" s="26"/>
      <c r="J52" s="1" t="str">
        <f t="shared" ref="J52" si="40">CONCATENATE(J51,"1")</f>
        <v>21</v>
      </c>
      <c r="N52" s="1">
        <f t="array" ref="N52:P54">LINEST($B18:$B21,$C18:$C21^{1,2},TRUE,TRUE)</f>
        <v>5.2157606478726948E-7</v>
      </c>
      <c r="O52" s="1">
        <v>0.99986533464050853</v>
      </c>
      <c r="P52" s="1">
        <v>-0.56176846961332849</v>
      </c>
      <c r="S52" s="1">
        <f t="shared" si="3"/>
        <v>1</v>
      </c>
      <c r="T52" s="1">
        <v>251</v>
      </c>
    </row>
    <row r="53" spans="1:20" x14ac:dyDescent="0.3">
      <c r="A53" s="1">
        <f t="shared" si="2"/>
        <v>1252</v>
      </c>
      <c r="B53" s="2">
        <f t="shared" si="31"/>
        <v>0</v>
      </c>
      <c r="C53" s="2">
        <f t="shared" si="29"/>
        <v>0</v>
      </c>
      <c r="D53" s="2">
        <f t="shared" si="32"/>
        <v>0</v>
      </c>
      <c r="E53" s="26"/>
      <c r="F53" s="26"/>
      <c r="J53" s="1" t="str">
        <f t="shared" ref="J53" si="41">CONCATENATE(J51,"2")</f>
        <v>22</v>
      </c>
      <c r="N53" s="1">
        <v>2.3341530852978836E-7</v>
      </c>
      <c r="O53" s="1">
        <v>3.1865355046716487E-4</v>
      </c>
      <c r="P53" s="1">
        <v>0.10532627261708689</v>
      </c>
      <c r="S53" s="1">
        <f t="shared" si="3"/>
        <v>1</v>
      </c>
      <c r="T53" s="1">
        <v>252</v>
      </c>
    </row>
    <row r="54" spans="1:20" x14ac:dyDescent="0.3">
      <c r="A54" s="1">
        <f t="shared" si="2"/>
        <v>1253</v>
      </c>
      <c r="B54" s="2">
        <f t="shared" si="31"/>
        <v>0</v>
      </c>
      <c r="C54" s="2">
        <f t="shared" si="29"/>
        <v>0</v>
      </c>
      <c r="D54" s="2">
        <f t="shared" si="32"/>
        <v>0</v>
      </c>
      <c r="E54" s="26"/>
      <c r="F54" s="26"/>
      <c r="J54" s="1" t="str">
        <f t="shared" ref="J54" si="42">CONCATENATE(J51,"3")</f>
        <v>23</v>
      </c>
      <c r="N54" s="1">
        <v>0.99999999937357165</v>
      </c>
      <c r="O54" s="1">
        <v>6.7175999789874652E-3</v>
      </c>
      <c r="P54" s="1" t="e">
        <v>#N/A</v>
      </c>
      <c r="S54" s="1">
        <f t="shared" si="3"/>
        <v>1</v>
      </c>
      <c r="T54" s="1">
        <v>253</v>
      </c>
    </row>
    <row r="55" spans="1:20" x14ac:dyDescent="0.3">
      <c r="A55" s="1">
        <f t="shared" si="2"/>
        <v>1254</v>
      </c>
      <c r="B55" s="2">
        <f t="shared" si="31"/>
        <v>0</v>
      </c>
      <c r="C55" s="2">
        <f t="shared" si="29"/>
        <v>0</v>
      </c>
      <c r="D55" s="2">
        <f t="shared" si="32"/>
        <v>0</v>
      </c>
      <c r="E55" s="26"/>
      <c r="F55" s="26"/>
      <c r="J55" s="1">
        <f>J51-1</f>
        <v>1</v>
      </c>
      <c r="O55" s="1" t="s">
        <v>4</v>
      </c>
      <c r="P55" s="1" t="s">
        <v>5</v>
      </c>
      <c r="S55" s="1">
        <f t="shared" si="3"/>
        <v>1</v>
      </c>
      <c r="T55" s="1">
        <v>254</v>
      </c>
    </row>
    <row r="56" spans="1:20" x14ac:dyDescent="0.3">
      <c r="A56" s="1">
        <f t="shared" si="2"/>
        <v>1255</v>
      </c>
      <c r="B56" s="2">
        <f t="shared" si="31"/>
        <v>0</v>
      </c>
      <c r="C56" s="2">
        <f t="shared" si="29"/>
        <v>0</v>
      </c>
      <c r="D56" s="2">
        <f t="shared" si="32"/>
        <v>0</v>
      </c>
      <c r="E56" s="26"/>
      <c r="F56" s="26"/>
      <c r="J56" s="1" t="str">
        <f>CONCATENATE(J55,"1")</f>
        <v>11</v>
      </c>
      <c r="O56" s="1">
        <f t="array" ref="O56:P58">LINEST($B18:$B20,$C18:$C20^{1},TRUE,TRUE)</f>
        <v>1.000500104188083</v>
      </c>
      <c r="P56" s="1">
        <v>-0.7503213167613012</v>
      </c>
      <c r="S56" s="1">
        <f t="shared" si="3"/>
        <v>1</v>
      </c>
      <c r="T56" s="1">
        <v>255</v>
      </c>
    </row>
    <row r="57" spans="1:20" x14ac:dyDescent="0.3">
      <c r="A57" s="1">
        <f t="shared" si="2"/>
        <v>1256</v>
      </c>
      <c r="B57" s="2">
        <f t="shared" si="31"/>
        <v>0</v>
      </c>
      <c r="C57" s="2">
        <f t="shared" si="29"/>
        <v>0</v>
      </c>
      <c r="D57" s="2">
        <f t="shared" si="32"/>
        <v>0</v>
      </c>
      <c r="E57" s="26"/>
      <c r="F57" s="26"/>
      <c r="J57" s="1" t="str">
        <f>CONCATENATE(J55,"2")</f>
        <v>12</v>
      </c>
      <c r="O57" s="1">
        <v>1.2033144167463141E-8</v>
      </c>
      <c r="P57" s="1">
        <v>7.5591977707378103E-6</v>
      </c>
      <c r="S57" s="1">
        <f t="shared" si="3"/>
        <v>1</v>
      </c>
      <c r="T57" s="1">
        <v>256</v>
      </c>
    </row>
    <row r="58" spans="1:20" x14ac:dyDescent="0.3">
      <c r="A58" s="1">
        <f t="shared" si="2"/>
        <v>1257</v>
      </c>
      <c r="B58" s="2">
        <f t="shared" si="31"/>
        <v>0</v>
      </c>
      <c r="C58" s="2">
        <f t="shared" si="29"/>
        <v>0</v>
      </c>
      <c r="D58" s="2">
        <f t="shared" si="32"/>
        <v>0</v>
      </c>
      <c r="E58" s="30"/>
      <c r="F58" s="30"/>
      <c r="J58" s="1" t="str">
        <f>CONCATENATE(J55,"3")</f>
        <v>13</v>
      </c>
      <c r="O58" s="1">
        <v>0.99999999999999989</v>
      </c>
      <c r="P58" s="1">
        <v>2.0416668462530652E-6</v>
      </c>
      <c r="S58" s="1">
        <f t="shared" si="3"/>
        <v>1</v>
      </c>
      <c r="T58" s="1">
        <v>257</v>
      </c>
    </row>
    <row r="59" spans="1:20" s="8" customFormat="1" x14ac:dyDescent="0.3"/>
    <row r="60" spans="1:20" x14ac:dyDescent="0.3">
      <c r="A60" s="1">
        <f t="shared" ref="A60:A116" si="43">ROUND(CONCATENATE(S60,T60),0)</f>
        <v>2201</v>
      </c>
      <c r="B60" s="57" t="s">
        <v>0</v>
      </c>
      <c r="C60" s="57"/>
      <c r="D60" s="56" t="s">
        <v>46</v>
      </c>
      <c r="E60" s="56"/>
      <c r="F60" s="56"/>
      <c r="G60" s="56"/>
      <c r="H60" s="56"/>
      <c r="L60" s="1">
        <v>1</v>
      </c>
      <c r="M60" s="1">
        <v>2</v>
      </c>
      <c r="N60" s="1">
        <v>3</v>
      </c>
      <c r="O60" s="1">
        <v>4</v>
      </c>
      <c r="P60" s="1">
        <v>5</v>
      </c>
      <c r="Q60" s="1">
        <v>6</v>
      </c>
      <c r="R60" s="1">
        <v>7</v>
      </c>
      <c r="S60" s="1">
        <f>S58+1</f>
        <v>2</v>
      </c>
      <c r="T60" s="1">
        <v>201</v>
      </c>
    </row>
    <row r="61" spans="1:20" x14ac:dyDescent="0.3">
      <c r="A61" s="1">
        <f t="shared" si="43"/>
        <v>2202</v>
      </c>
      <c r="B61" s="57"/>
      <c r="C61" s="57"/>
      <c r="D61" s="57"/>
      <c r="E61" s="57"/>
      <c r="F61" s="57"/>
      <c r="G61" s="57"/>
      <c r="H61" s="57"/>
      <c r="K61" s="2" t="s">
        <v>1</v>
      </c>
      <c r="L61" s="2"/>
      <c r="M61" s="2" t="s">
        <v>2</v>
      </c>
      <c r="N61" s="2" t="s">
        <v>3</v>
      </c>
      <c r="O61" s="2" t="s">
        <v>4</v>
      </c>
      <c r="P61" s="2" t="s">
        <v>5</v>
      </c>
      <c r="S61" s="1">
        <f>S60</f>
        <v>2</v>
      </c>
      <c r="T61" s="1">
        <v>202</v>
      </c>
    </row>
    <row r="62" spans="1:20" x14ac:dyDescent="0.3">
      <c r="A62" s="1">
        <f t="shared" si="43"/>
        <v>2203</v>
      </c>
      <c r="B62" s="64" t="s">
        <v>6</v>
      </c>
      <c r="C62" s="64"/>
      <c r="D62" s="56" t="s">
        <v>114</v>
      </c>
      <c r="E62" s="56"/>
      <c r="F62" s="56"/>
      <c r="G62" s="56"/>
      <c r="H62" s="56"/>
      <c r="I62" s="1" t="s">
        <v>93</v>
      </c>
      <c r="K62" s="3">
        <f>IF(K64&gt;=3,N64,LOOKUP(15-($B91+1),M60:R60,M64:P64))</f>
        <v>0.18420034618709938</v>
      </c>
      <c r="L62" s="2" t="str">
        <f>CONCATENATE($B91,"1")</f>
        <v>41</v>
      </c>
      <c r="M62" s="2">
        <f>VLOOKUP(L62,J65:P116,O60,FALSE)</f>
        <v>-2.3107083749117935E-7</v>
      </c>
      <c r="N62" s="2">
        <f>VLOOKUP(L62,J65:P116,P60,FALSE)</f>
        <v>6.3483257297121387E-4</v>
      </c>
      <c r="O62" s="2">
        <f>VLOOKUP(L62,J65:P116,Q60,FALSE)</f>
        <v>0.42144865504733053</v>
      </c>
      <c r="P62" s="2">
        <f>VLOOKUP(L62,J65:P116,R60,FALSE)</f>
        <v>175.88221038859828</v>
      </c>
      <c r="S62" s="1">
        <f t="shared" ref="S62:S116" si="44">S61</f>
        <v>2</v>
      </c>
      <c r="T62" s="1">
        <v>203</v>
      </c>
    </row>
    <row r="63" spans="1:20" x14ac:dyDescent="0.3">
      <c r="A63" s="1">
        <f t="shared" si="43"/>
        <v>2204</v>
      </c>
      <c r="B63" s="57" t="s">
        <v>7</v>
      </c>
      <c r="C63" s="57"/>
      <c r="D63" s="56" t="s">
        <v>92</v>
      </c>
      <c r="E63" s="56"/>
      <c r="F63" s="56"/>
      <c r="G63" s="56"/>
      <c r="H63" s="56"/>
      <c r="K63" s="2" t="s">
        <v>8</v>
      </c>
      <c r="L63" s="2" t="str">
        <f>CONCATENATE($B91,"2")</f>
        <v>42</v>
      </c>
      <c r="M63" s="2">
        <f>VLOOKUP(L63,J65:P116,O60,FALSE)</f>
        <v>1.0872260418491809E-7</v>
      </c>
      <c r="N63" s="2">
        <f>VLOOKUP(L63,J65:P116,P60,FALSE)</f>
        <v>3.1070814949738814E-4</v>
      </c>
      <c r="O63" s="2">
        <f>VLOOKUP(L63,J65:P116,Q60,FALSE)</f>
        <v>0.29417889756252502</v>
      </c>
      <c r="P63" s="2">
        <f>VLOOKUP(L63,J65:P116,R60,FALSE)</f>
        <v>92.24544360597298</v>
      </c>
      <c r="S63" s="1">
        <f t="shared" si="44"/>
        <v>2</v>
      </c>
      <c r="T63" s="1">
        <v>204</v>
      </c>
    </row>
    <row r="64" spans="1:20" x14ac:dyDescent="0.3">
      <c r="A64" s="1">
        <f t="shared" si="43"/>
        <v>2205</v>
      </c>
      <c r="B64" s="57" t="s">
        <v>9</v>
      </c>
      <c r="C64" s="57"/>
      <c r="D64" s="56" t="s">
        <v>91</v>
      </c>
      <c r="E64" s="56"/>
      <c r="F64" s="56"/>
      <c r="G64" s="56"/>
      <c r="H64" s="56"/>
      <c r="K64" s="3">
        <f>IF(B91&gt;3,3,B91)</f>
        <v>3</v>
      </c>
      <c r="L64" s="2" t="str">
        <f>CONCATENATE($B91,"3")</f>
        <v>43</v>
      </c>
      <c r="M64" s="2">
        <f>VLOOKUP(L64,J65:P116,O60,FALSE)</f>
        <v>0.99999888537112003</v>
      </c>
      <c r="N64" s="2">
        <f>VLOOKUP(L64,J65:P116,P60,FALSE)</f>
        <v>0.18420034618709938</v>
      </c>
      <c r="O64" s="2" t="e">
        <f>VLOOKUP(L64,J65:P116,Q60,FALSE)</f>
        <v>#N/A</v>
      </c>
      <c r="P64" s="2" t="e">
        <f>VLOOKUP(L64,J65:P116,R60,FALSE)</f>
        <v>#N/A</v>
      </c>
      <c r="S64" s="1">
        <f t="shared" si="44"/>
        <v>2</v>
      </c>
      <c r="T64" s="1">
        <v>205</v>
      </c>
    </row>
    <row r="65" spans="1:20" x14ac:dyDescent="0.3">
      <c r="A65" s="1">
        <f t="shared" si="43"/>
        <v>2206</v>
      </c>
      <c r="B65" s="57" t="s">
        <v>10</v>
      </c>
      <c r="C65" s="57"/>
      <c r="D65" s="62" t="s">
        <v>144</v>
      </c>
      <c r="E65" s="56"/>
      <c r="F65" s="56"/>
      <c r="G65" s="56"/>
      <c r="H65" s="56"/>
      <c r="J65" s="1">
        <v>13</v>
      </c>
      <c r="M65" s="1" t="s">
        <v>2</v>
      </c>
      <c r="N65" s="1" t="s">
        <v>3</v>
      </c>
      <c r="O65" s="1" t="s">
        <v>4</v>
      </c>
      <c r="P65" s="1" t="s">
        <v>5</v>
      </c>
      <c r="S65" s="1">
        <f t="shared" si="44"/>
        <v>2</v>
      </c>
      <c r="T65" s="1">
        <v>206</v>
      </c>
    </row>
    <row r="66" spans="1:20" x14ac:dyDescent="0.3">
      <c r="A66" s="1">
        <f t="shared" si="43"/>
        <v>2207</v>
      </c>
      <c r="B66" s="57" t="s">
        <v>11</v>
      </c>
      <c r="C66" s="57"/>
      <c r="D66" s="63">
        <v>45905</v>
      </c>
      <c r="E66" s="63"/>
      <c r="F66" s="63"/>
      <c r="G66" s="63"/>
      <c r="H66" s="63"/>
      <c r="J66" s="1" t="str">
        <f>CONCATENATE(J65,"1")</f>
        <v>131</v>
      </c>
      <c r="M66" s="1" t="e">
        <f t="array" ref="M66:P68">LINEST($B76:$B90,$C76:$C90^{1,2,3},TRUE,TRUE)</f>
        <v>#VALUE!</v>
      </c>
      <c r="N66" s="1" t="e">
        <v>#VALUE!</v>
      </c>
      <c r="O66" s="1" t="e">
        <v>#VALUE!</v>
      </c>
      <c r="P66" s="1" t="e">
        <v>#VALUE!</v>
      </c>
      <c r="S66" s="1">
        <f t="shared" si="44"/>
        <v>2</v>
      </c>
      <c r="T66" s="1">
        <v>207</v>
      </c>
    </row>
    <row r="67" spans="1:20" x14ac:dyDescent="0.3">
      <c r="A67" s="1">
        <f t="shared" si="43"/>
        <v>2208</v>
      </c>
      <c r="B67" s="57" t="s">
        <v>12</v>
      </c>
      <c r="C67" s="57"/>
      <c r="D67" s="58">
        <v>46295</v>
      </c>
      <c r="E67" s="58"/>
      <c r="F67" s="58"/>
      <c r="G67" s="58"/>
      <c r="H67" s="58"/>
      <c r="J67" s="1" t="str">
        <f>CONCATENATE(J65,"2")</f>
        <v>132</v>
      </c>
      <c r="M67" s="1" t="e">
        <v>#VALUE!</v>
      </c>
      <c r="N67" s="1" t="e">
        <v>#VALUE!</v>
      </c>
      <c r="O67" s="1" t="e">
        <v>#VALUE!</v>
      </c>
      <c r="P67" s="1" t="e">
        <v>#VALUE!</v>
      </c>
      <c r="S67" s="1">
        <f t="shared" si="44"/>
        <v>2</v>
      </c>
      <c r="T67" s="1">
        <v>208</v>
      </c>
    </row>
    <row r="68" spans="1:20" x14ac:dyDescent="0.3">
      <c r="A68" s="1">
        <f t="shared" si="43"/>
        <v>2209</v>
      </c>
      <c r="B68" s="57" t="s">
        <v>13</v>
      </c>
      <c r="C68" s="57"/>
      <c r="D68" s="9">
        <v>1</v>
      </c>
      <c r="E68" s="54" t="s">
        <v>14</v>
      </c>
      <c r="F68" s="54"/>
      <c r="G68" s="54"/>
      <c r="H68" s="9" t="s">
        <v>59</v>
      </c>
      <c r="J68" s="1" t="str">
        <f>CONCATENATE(J65,"3")</f>
        <v>133</v>
      </c>
      <c r="M68" s="1" t="e">
        <v>#VALUE!</v>
      </c>
      <c r="N68" s="1" t="e">
        <v>#VALUE!</v>
      </c>
      <c r="O68" s="1" t="e">
        <v>#VALUE!</v>
      </c>
      <c r="P68" s="1" t="e">
        <v>#VALUE!</v>
      </c>
      <c r="S68" s="1">
        <f t="shared" si="44"/>
        <v>2</v>
      </c>
      <c r="T68" s="1">
        <v>209</v>
      </c>
    </row>
    <row r="69" spans="1:20" x14ac:dyDescent="0.3">
      <c r="A69" s="1">
        <f t="shared" si="43"/>
        <v>2210</v>
      </c>
      <c r="B69" s="57" t="s">
        <v>15</v>
      </c>
      <c r="C69" s="57"/>
      <c r="D69" s="2">
        <f>MIN(B76:B90)</f>
        <v>801</v>
      </c>
      <c r="E69" s="4" t="s">
        <v>16</v>
      </c>
      <c r="F69" s="2">
        <f>MAX(B76:B90)</f>
        <v>1100</v>
      </c>
      <c r="G69" s="5" t="str">
        <f>IF(H68="","",H68)</f>
        <v>hPa</v>
      </c>
      <c r="H69" s="23"/>
      <c r="J69" s="1">
        <f>J65-1</f>
        <v>12</v>
      </c>
      <c r="M69" s="1" t="s">
        <v>2</v>
      </c>
      <c r="N69" s="1" t="s">
        <v>3</v>
      </c>
      <c r="O69" s="1" t="s">
        <v>4</v>
      </c>
      <c r="P69" s="1" t="s">
        <v>5</v>
      </c>
      <c r="S69" s="1">
        <f t="shared" si="44"/>
        <v>2</v>
      </c>
      <c r="T69" s="1">
        <v>210</v>
      </c>
    </row>
    <row r="70" spans="1:20" x14ac:dyDescent="0.3">
      <c r="A70" s="1">
        <f t="shared" si="43"/>
        <v>2211</v>
      </c>
      <c r="J70" s="1" t="str">
        <f>CONCATENATE(J69,"1")</f>
        <v>121</v>
      </c>
      <c r="M70" s="1" t="e">
        <f t="array" ref="M70:P72">LINEST($B76:$B89,$C76:$C89^{1,2,3},TRUE,TRUE)</f>
        <v>#VALUE!</v>
      </c>
      <c r="N70" s="1" t="e">
        <v>#VALUE!</v>
      </c>
      <c r="O70" s="1" t="e">
        <v>#VALUE!</v>
      </c>
      <c r="P70" s="1" t="e">
        <v>#VALUE!</v>
      </c>
      <c r="S70" s="1">
        <f t="shared" si="44"/>
        <v>2</v>
      </c>
      <c r="T70" s="1">
        <v>211</v>
      </c>
    </row>
    <row r="71" spans="1:20" x14ac:dyDescent="0.3">
      <c r="A71" s="1">
        <f t="shared" si="43"/>
        <v>2212</v>
      </c>
      <c r="B71" s="59" t="s">
        <v>17</v>
      </c>
      <c r="C71" s="59"/>
      <c r="D71" s="59"/>
      <c r="E71" s="59"/>
      <c r="F71" s="59"/>
      <c r="G71" s="60" t="s">
        <v>29</v>
      </c>
      <c r="H71" s="61"/>
      <c r="J71" s="1" t="str">
        <f>CONCATENATE(J69,"2")</f>
        <v>122</v>
      </c>
      <c r="M71" s="1" t="e">
        <v>#VALUE!</v>
      </c>
      <c r="N71" s="1" t="e">
        <v>#VALUE!</v>
      </c>
      <c r="O71" s="1" t="e">
        <v>#VALUE!</v>
      </c>
      <c r="P71" s="1" t="e">
        <v>#VALUE!</v>
      </c>
      <c r="S71" s="1">
        <f t="shared" si="44"/>
        <v>2</v>
      </c>
      <c r="T71" s="1">
        <v>212</v>
      </c>
    </row>
    <row r="72" spans="1:20" x14ac:dyDescent="0.3">
      <c r="A72" s="1">
        <f t="shared" si="43"/>
        <v>2213</v>
      </c>
      <c r="B72" s="54" t="s">
        <v>18</v>
      </c>
      <c r="C72" s="54"/>
      <c r="D72" s="54"/>
      <c r="E72" s="54" t="str">
        <f>IF(D65="","",D65)</f>
        <v>E0627/25</v>
      </c>
      <c r="F72" s="54"/>
      <c r="G72" s="5" t="s">
        <v>18</v>
      </c>
      <c r="H72" s="20" t="s">
        <v>115</v>
      </c>
      <c r="J72" s="1" t="str">
        <f>CONCATENATE(J69,"3")</f>
        <v>123</v>
      </c>
      <c r="M72" s="1" t="e">
        <v>#VALUE!</v>
      </c>
      <c r="N72" s="1" t="e">
        <v>#VALUE!</v>
      </c>
      <c r="O72" s="1" t="e">
        <v>#VALUE!</v>
      </c>
      <c r="P72" s="1" t="e">
        <v>#VALUE!</v>
      </c>
      <c r="S72" s="1">
        <f t="shared" si="44"/>
        <v>2</v>
      </c>
      <c r="T72" s="1">
        <v>213</v>
      </c>
    </row>
    <row r="73" spans="1:20" ht="15" customHeight="1" x14ac:dyDescent="0.3">
      <c r="A73" s="1">
        <f t="shared" si="43"/>
        <v>2214</v>
      </c>
      <c r="B73" s="6" t="s">
        <v>19</v>
      </c>
      <c r="C73" s="6" t="s">
        <v>20</v>
      </c>
      <c r="D73" s="6" t="s">
        <v>21</v>
      </c>
      <c r="E73" s="6"/>
      <c r="F73" s="55" t="s">
        <v>31</v>
      </c>
      <c r="G73" s="6" t="s">
        <v>19</v>
      </c>
      <c r="H73" s="6" t="s">
        <v>20</v>
      </c>
      <c r="J73" s="1">
        <f>J69-1</f>
        <v>11</v>
      </c>
      <c r="M73" s="1" t="s">
        <v>2</v>
      </c>
      <c r="N73" s="1" t="s">
        <v>3</v>
      </c>
      <c r="O73" s="1" t="s">
        <v>4</v>
      </c>
      <c r="P73" s="1" t="s">
        <v>5</v>
      </c>
      <c r="S73" s="1">
        <f t="shared" si="44"/>
        <v>2</v>
      </c>
      <c r="T73" s="1">
        <v>214</v>
      </c>
    </row>
    <row r="74" spans="1:20" x14ac:dyDescent="0.3">
      <c r="A74" s="1">
        <f t="shared" si="43"/>
        <v>2215</v>
      </c>
      <c r="B74" s="6" t="s">
        <v>22</v>
      </c>
      <c r="C74" s="6" t="s">
        <v>23</v>
      </c>
      <c r="D74" s="6" t="s">
        <v>24</v>
      </c>
      <c r="E74" s="6" t="s">
        <v>30</v>
      </c>
      <c r="F74" s="55"/>
      <c r="G74" s="6" t="s">
        <v>22</v>
      </c>
      <c r="H74" s="6" t="s">
        <v>23</v>
      </c>
      <c r="J74" s="1" t="str">
        <f>CONCATENATE(J73,"1")</f>
        <v>111</v>
      </c>
      <c r="M74" s="1" t="e">
        <f t="array" ref="M74:P76">LINEST($B76:$B88,$C76:$C88^{1,2,3},TRUE,TRUE)</f>
        <v>#VALUE!</v>
      </c>
      <c r="N74" s="1" t="e">
        <v>#VALUE!</v>
      </c>
      <c r="O74" s="1" t="e">
        <v>#VALUE!</v>
      </c>
      <c r="P74" s="1" t="e">
        <v>#VALUE!</v>
      </c>
      <c r="S74" s="1">
        <f t="shared" si="44"/>
        <v>2</v>
      </c>
      <c r="T74" s="1">
        <v>215</v>
      </c>
    </row>
    <row r="75" spans="1:20" x14ac:dyDescent="0.3">
      <c r="A75" s="1">
        <f t="shared" si="43"/>
        <v>2216</v>
      </c>
      <c r="B75" s="7" t="str">
        <f>IF(H68="","",H68)</f>
        <v>hPa</v>
      </c>
      <c r="C75" s="7" t="str">
        <f>IF(H68="","",H68)</f>
        <v>hPa</v>
      </c>
      <c r="D75" s="7" t="str">
        <f>IF(H68="","",H68)</f>
        <v>hPa</v>
      </c>
      <c r="E75" s="7"/>
      <c r="F75" s="7" t="str">
        <f>IF(I68="","",I68)</f>
        <v/>
      </c>
      <c r="G75" s="7" t="str">
        <f>IF(H68="","",H68)</f>
        <v>hPa</v>
      </c>
      <c r="H75" s="7" t="str">
        <f>IF(H68="","",H68)</f>
        <v>hPa</v>
      </c>
      <c r="J75" s="1" t="str">
        <f>CONCATENATE(J73,"2")</f>
        <v>112</v>
      </c>
      <c r="M75" s="1" t="e">
        <v>#VALUE!</v>
      </c>
      <c r="N75" s="1" t="e">
        <v>#VALUE!</v>
      </c>
      <c r="O75" s="1" t="e">
        <v>#VALUE!</v>
      </c>
      <c r="P75" s="1" t="e">
        <v>#VALUE!</v>
      </c>
      <c r="S75" s="1">
        <f t="shared" si="44"/>
        <v>2</v>
      </c>
      <c r="T75" s="1">
        <v>216</v>
      </c>
    </row>
    <row r="76" spans="1:20" x14ac:dyDescent="0.3">
      <c r="A76" s="1">
        <f t="shared" si="43"/>
        <v>2217</v>
      </c>
      <c r="B76" s="24">
        <v>801</v>
      </c>
      <c r="C76" s="24">
        <v>800</v>
      </c>
      <c r="D76" s="24">
        <v>1</v>
      </c>
      <c r="E76" s="24">
        <v>2</v>
      </c>
      <c r="F76" s="24">
        <v>1000000</v>
      </c>
      <c r="G76" s="25">
        <v>800</v>
      </c>
      <c r="H76" s="25">
        <v>799</v>
      </c>
      <c r="J76" s="1" t="str">
        <f>CONCATENATE(J73,"3")</f>
        <v>113</v>
      </c>
      <c r="M76" s="1" t="e">
        <v>#VALUE!</v>
      </c>
      <c r="N76" s="1" t="e">
        <v>#VALUE!</v>
      </c>
      <c r="O76" s="1" t="e">
        <v>#VALUE!</v>
      </c>
      <c r="P76" s="1" t="e">
        <v>#VALUE!</v>
      </c>
      <c r="S76" s="1">
        <f t="shared" si="44"/>
        <v>2</v>
      </c>
      <c r="T76" s="1">
        <v>217</v>
      </c>
    </row>
    <row r="77" spans="1:20" x14ac:dyDescent="0.3">
      <c r="A77" s="1">
        <f t="shared" si="43"/>
        <v>2218</v>
      </c>
      <c r="B77" s="24">
        <v>881</v>
      </c>
      <c r="C77" s="24">
        <v>880</v>
      </c>
      <c r="D77" s="24">
        <v>1</v>
      </c>
      <c r="E77" s="24">
        <v>2</v>
      </c>
      <c r="F77" s="24">
        <v>1000000</v>
      </c>
      <c r="G77" s="25">
        <v>880</v>
      </c>
      <c r="H77" s="25">
        <v>879</v>
      </c>
      <c r="J77" s="1">
        <f t="shared" ref="J77" si="45">J73-1</f>
        <v>10</v>
      </c>
      <c r="M77" s="1" t="s">
        <v>2</v>
      </c>
      <c r="N77" s="1" t="s">
        <v>3</v>
      </c>
      <c r="O77" s="1" t="s">
        <v>4</v>
      </c>
      <c r="P77" s="1" t="s">
        <v>5</v>
      </c>
      <c r="S77" s="1">
        <f t="shared" si="44"/>
        <v>2</v>
      </c>
      <c r="T77" s="1">
        <v>218</v>
      </c>
    </row>
    <row r="78" spans="1:20" x14ac:dyDescent="0.3">
      <c r="A78" s="1">
        <f t="shared" si="43"/>
        <v>2219</v>
      </c>
      <c r="B78" s="24">
        <v>961</v>
      </c>
      <c r="C78" s="24">
        <v>960</v>
      </c>
      <c r="D78" s="24">
        <v>1</v>
      </c>
      <c r="E78" s="24">
        <v>2</v>
      </c>
      <c r="F78" s="24">
        <v>1000000</v>
      </c>
      <c r="G78" s="25">
        <v>960</v>
      </c>
      <c r="H78" s="25">
        <v>960</v>
      </c>
      <c r="J78" s="1" t="str">
        <f t="shared" ref="J78" si="46">CONCATENATE(J77,"1")</f>
        <v>101</v>
      </c>
      <c r="M78" s="1" t="e">
        <f t="array" ref="M78:P80">LINEST($B76:$B87,$C76:$C87^{1,2,3},TRUE,TRUE)</f>
        <v>#VALUE!</v>
      </c>
      <c r="N78" s="1" t="e">
        <v>#VALUE!</v>
      </c>
      <c r="O78" s="1" t="e">
        <v>#VALUE!</v>
      </c>
      <c r="P78" s="1" t="e">
        <v>#VALUE!</v>
      </c>
      <c r="S78" s="1">
        <f t="shared" si="44"/>
        <v>2</v>
      </c>
      <c r="T78" s="1">
        <v>219</v>
      </c>
    </row>
    <row r="79" spans="1:20" x14ac:dyDescent="0.3">
      <c r="A79" s="1">
        <f t="shared" si="43"/>
        <v>2220</v>
      </c>
      <c r="B79" s="24">
        <v>1001</v>
      </c>
      <c r="C79" s="24">
        <v>1000</v>
      </c>
      <c r="D79" s="24">
        <v>1</v>
      </c>
      <c r="E79" s="24">
        <v>2</v>
      </c>
      <c r="F79" s="24">
        <v>1000000</v>
      </c>
      <c r="G79" s="25">
        <v>1000</v>
      </c>
      <c r="H79" s="25">
        <v>1000</v>
      </c>
      <c r="J79" s="1" t="str">
        <f t="shared" ref="J79" si="47">CONCATENATE(J77,"2")</f>
        <v>102</v>
      </c>
      <c r="M79" s="1" t="e">
        <v>#VALUE!</v>
      </c>
      <c r="N79" s="1" t="e">
        <v>#VALUE!</v>
      </c>
      <c r="O79" s="1" t="e">
        <v>#VALUE!</v>
      </c>
      <c r="P79" s="1" t="e">
        <v>#VALUE!</v>
      </c>
      <c r="S79" s="1">
        <f t="shared" si="44"/>
        <v>2</v>
      </c>
      <c r="T79" s="1">
        <v>220</v>
      </c>
    </row>
    <row r="80" spans="1:20" x14ac:dyDescent="0.3">
      <c r="A80" s="1">
        <f t="shared" si="43"/>
        <v>2221</v>
      </c>
      <c r="B80" s="24">
        <v>1051</v>
      </c>
      <c r="C80" s="24">
        <v>1050</v>
      </c>
      <c r="D80" s="24">
        <v>1</v>
      </c>
      <c r="E80" s="24">
        <v>2</v>
      </c>
      <c r="F80" s="24">
        <v>1000000</v>
      </c>
      <c r="G80" s="25">
        <v>1050</v>
      </c>
      <c r="H80" s="25">
        <v>1050</v>
      </c>
      <c r="J80" s="1" t="str">
        <f t="shared" ref="J80" si="48">CONCATENATE(J77,"3")</f>
        <v>103</v>
      </c>
      <c r="M80" s="1" t="e">
        <v>#VALUE!</v>
      </c>
      <c r="N80" s="1" t="e">
        <v>#VALUE!</v>
      </c>
      <c r="O80" s="1" t="e">
        <v>#VALUE!</v>
      </c>
      <c r="P80" s="1" t="e">
        <v>#VALUE!</v>
      </c>
      <c r="S80" s="1">
        <f t="shared" si="44"/>
        <v>2</v>
      </c>
      <c r="T80" s="1">
        <v>221</v>
      </c>
    </row>
    <row r="81" spans="1:20" x14ac:dyDescent="0.3">
      <c r="A81" s="1">
        <f t="shared" si="43"/>
        <v>2222</v>
      </c>
      <c r="B81" s="24">
        <v>1100</v>
      </c>
      <c r="C81" s="24">
        <v>1100</v>
      </c>
      <c r="D81" s="24">
        <v>1</v>
      </c>
      <c r="E81" s="24">
        <v>2</v>
      </c>
      <c r="F81" s="24">
        <v>1000000</v>
      </c>
      <c r="G81" s="25">
        <v>1100</v>
      </c>
      <c r="H81" s="25">
        <v>1100</v>
      </c>
      <c r="J81" s="1">
        <f t="shared" ref="J81" si="49">J77-1</f>
        <v>9</v>
      </c>
      <c r="M81" s="1" t="s">
        <v>2</v>
      </c>
      <c r="N81" s="1" t="s">
        <v>3</v>
      </c>
      <c r="O81" s="1" t="s">
        <v>4</v>
      </c>
      <c r="P81" s="1" t="s">
        <v>5</v>
      </c>
      <c r="S81" s="1">
        <f t="shared" si="44"/>
        <v>2</v>
      </c>
      <c r="T81" s="1">
        <v>222</v>
      </c>
    </row>
    <row r="82" spans="1:20" x14ac:dyDescent="0.3">
      <c r="A82" s="1">
        <f t="shared" si="43"/>
        <v>2223</v>
      </c>
      <c r="B82" s="24"/>
      <c r="C82" s="24"/>
      <c r="D82" s="21"/>
      <c r="E82" s="24"/>
      <c r="F82" s="24"/>
      <c r="G82" s="25"/>
      <c r="H82" s="25"/>
      <c r="J82" s="1" t="str">
        <f t="shared" ref="J82" si="50">CONCATENATE(J81,"1")</f>
        <v>91</v>
      </c>
      <c r="M82" s="1" t="e">
        <f t="array" ref="M82:P84">LINEST($B76:$B86,$C76:$C86^{1,2,3},TRUE,TRUE)</f>
        <v>#VALUE!</v>
      </c>
      <c r="N82" s="1" t="e">
        <v>#VALUE!</v>
      </c>
      <c r="O82" s="1" t="e">
        <v>#VALUE!</v>
      </c>
      <c r="P82" s="1" t="e">
        <v>#VALUE!</v>
      </c>
      <c r="S82" s="1">
        <f t="shared" si="44"/>
        <v>2</v>
      </c>
      <c r="T82" s="1">
        <v>223</v>
      </c>
    </row>
    <row r="83" spans="1:20" x14ac:dyDescent="0.3">
      <c r="A83" s="1">
        <f t="shared" si="43"/>
        <v>2224</v>
      </c>
      <c r="B83" s="24"/>
      <c r="C83" s="24"/>
      <c r="D83" s="21"/>
      <c r="E83" s="24"/>
      <c r="F83" s="24"/>
      <c r="G83" s="25"/>
      <c r="H83" s="25"/>
      <c r="J83" s="1" t="str">
        <f t="shared" ref="J83" si="51">CONCATENATE(J81,"2")</f>
        <v>92</v>
      </c>
      <c r="M83" s="1" t="e">
        <v>#VALUE!</v>
      </c>
      <c r="N83" s="1" t="e">
        <v>#VALUE!</v>
      </c>
      <c r="O83" s="1" t="e">
        <v>#VALUE!</v>
      </c>
      <c r="P83" s="1" t="e">
        <v>#VALUE!</v>
      </c>
      <c r="S83" s="1">
        <f t="shared" si="44"/>
        <v>2</v>
      </c>
      <c r="T83" s="1">
        <v>224</v>
      </c>
    </row>
    <row r="84" spans="1:20" x14ac:dyDescent="0.3">
      <c r="A84" s="1">
        <f t="shared" si="43"/>
        <v>2225</v>
      </c>
      <c r="B84" s="24"/>
      <c r="C84" s="24"/>
      <c r="D84" s="21"/>
      <c r="E84" s="24"/>
      <c r="F84" s="24"/>
      <c r="G84" s="25"/>
      <c r="H84" s="25"/>
      <c r="J84" s="1" t="str">
        <f t="shared" ref="J84" si="52">CONCATENATE(J81,"3")</f>
        <v>93</v>
      </c>
      <c r="M84" s="1" t="e">
        <v>#VALUE!</v>
      </c>
      <c r="N84" s="1" t="e">
        <v>#VALUE!</v>
      </c>
      <c r="O84" s="1" t="e">
        <v>#VALUE!</v>
      </c>
      <c r="P84" s="1" t="e">
        <v>#VALUE!</v>
      </c>
      <c r="S84" s="1">
        <f t="shared" si="44"/>
        <v>2</v>
      </c>
      <c r="T84" s="1">
        <v>225</v>
      </c>
    </row>
    <row r="85" spans="1:20" x14ac:dyDescent="0.3">
      <c r="A85" s="1">
        <f t="shared" si="43"/>
        <v>2226</v>
      </c>
      <c r="B85" s="24"/>
      <c r="C85" s="24"/>
      <c r="D85" s="24"/>
      <c r="E85" s="24"/>
      <c r="F85" s="24"/>
      <c r="G85" s="25"/>
      <c r="H85" s="25"/>
      <c r="J85" s="1">
        <f t="shared" ref="J85" si="53">J81-1</f>
        <v>8</v>
      </c>
      <c r="M85" s="1" t="s">
        <v>2</v>
      </c>
      <c r="N85" s="1" t="s">
        <v>3</v>
      </c>
      <c r="O85" s="1" t="s">
        <v>4</v>
      </c>
      <c r="P85" s="1" t="s">
        <v>5</v>
      </c>
      <c r="S85" s="1">
        <f t="shared" si="44"/>
        <v>2</v>
      </c>
      <c r="T85" s="1">
        <v>226</v>
      </c>
    </row>
    <row r="86" spans="1:20" x14ac:dyDescent="0.3">
      <c r="A86" s="1">
        <f t="shared" si="43"/>
        <v>2227</v>
      </c>
      <c r="B86" s="24"/>
      <c r="C86" s="24"/>
      <c r="D86" s="24"/>
      <c r="E86" s="24"/>
      <c r="F86" s="24"/>
      <c r="G86" s="25"/>
      <c r="H86" s="25"/>
      <c r="J86" s="1" t="str">
        <f t="shared" ref="J86" si="54">CONCATENATE(J85,"1")</f>
        <v>81</v>
      </c>
      <c r="M86" s="1" t="e">
        <f t="array" ref="M86:P88">LINEST($B76:$B85,$C76:$C85^{1,2,3},TRUE,TRUE)</f>
        <v>#VALUE!</v>
      </c>
      <c r="N86" s="1" t="e">
        <v>#VALUE!</v>
      </c>
      <c r="O86" s="1" t="e">
        <v>#VALUE!</v>
      </c>
      <c r="P86" s="1" t="e">
        <v>#VALUE!</v>
      </c>
      <c r="S86" s="1">
        <f t="shared" si="44"/>
        <v>2</v>
      </c>
      <c r="T86" s="1">
        <v>227</v>
      </c>
    </row>
    <row r="87" spans="1:20" x14ac:dyDescent="0.3">
      <c r="A87" s="1">
        <f t="shared" si="43"/>
        <v>2228</v>
      </c>
      <c r="B87" s="24"/>
      <c r="C87" s="24"/>
      <c r="D87" s="24"/>
      <c r="E87" s="24"/>
      <c r="F87" s="24"/>
      <c r="G87" s="25"/>
      <c r="H87" s="25"/>
      <c r="J87" s="1" t="str">
        <f t="shared" ref="J87" si="55">CONCATENATE(J85,"2")</f>
        <v>82</v>
      </c>
      <c r="M87" s="1" t="e">
        <v>#VALUE!</v>
      </c>
      <c r="N87" s="1" t="e">
        <v>#VALUE!</v>
      </c>
      <c r="O87" s="1" t="e">
        <v>#VALUE!</v>
      </c>
      <c r="P87" s="1" t="e">
        <v>#VALUE!</v>
      </c>
      <c r="S87" s="1">
        <f t="shared" si="44"/>
        <v>2</v>
      </c>
      <c r="T87" s="1">
        <v>228</v>
      </c>
    </row>
    <row r="88" spans="1:20" x14ac:dyDescent="0.3">
      <c r="A88" s="1">
        <f t="shared" si="43"/>
        <v>2229</v>
      </c>
      <c r="B88" s="24"/>
      <c r="C88" s="24"/>
      <c r="D88" s="24"/>
      <c r="E88" s="24"/>
      <c r="F88" s="24"/>
      <c r="G88" s="25"/>
      <c r="H88" s="25"/>
      <c r="J88" s="1" t="str">
        <f t="shared" ref="J88" si="56">CONCATENATE(J85,"3")</f>
        <v>83</v>
      </c>
      <c r="M88" s="1" t="e">
        <v>#VALUE!</v>
      </c>
      <c r="N88" s="1" t="e">
        <v>#VALUE!</v>
      </c>
      <c r="O88" s="1" t="e">
        <v>#VALUE!</v>
      </c>
      <c r="P88" s="1" t="e">
        <v>#VALUE!</v>
      </c>
      <c r="S88" s="1">
        <f t="shared" si="44"/>
        <v>2</v>
      </c>
      <c r="T88" s="1">
        <v>229</v>
      </c>
    </row>
    <row r="89" spans="1:20" x14ac:dyDescent="0.3">
      <c r="A89" s="1">
        <f t="shared" si="43"/>
        <v>2230</v>
      </c>
      <c r="B89" s="24"/>
      <c r="C89" s="24"/>
      <c r="D89" s="24"/>
      <c r="E89" s="24"/>
      <c r="F89" s="24"/>
      <c r="G89" s="25"/>
      <c r="H89" s="25"/>
      <c r="J89" s="1">
        <f t="shared" ref="J89" si="57">J85-1</f>
        <v>7</v>
      </c>
      <c r="M89" s="1" t="s">
        <v>2</v>
      </c>
      <c r="N89" s="1" t="s">
        <v>3</v>
      </c>
      <c r="O89" s="1" t="s">
        <v>4</v>
      </c>
      <c r="P89" s="1" t="s">
        <v>5</v>
      </c>
      <c r="S89" s="1">
        <f t="shared" si="44"/>
        <v>2</v>
      </c>
      <c r="T89" s="1">
        <v>230</v>
      </c>
    </row>
    <row r="90" spans="1:20" x14ac:dyDescent="0.3">
      <c r="A90" s="1">
        <f t="shared" si="43"/>
        <v>2231</v>
      </c>
      <c r="B90" s="24"/>
      <c r="C90" s="24"/>
      <c r="D90" s="24"/>
      <c r="E90" s="24"/>
      <c r="F90" s="24"/>
      <c r="G90" s="25"/>
      <c r="H90" s="25"/>
      <c r="J90" s="1" t="str">
        <f t="shared" ref="J90" si="58">CONCATENATE(J89,"1")</f>
        <v>71</v>
      </c>
      <c r="M90" s="1" t="e">
        <f t="array" ref="M90:P92">LINEST($B76:$B84,$C76:$C84^{1,2,3},TRUE,TRUE)</f>
        <v>#VALUE!</v>
      </c>
      <c r="N90" s="1" t="e">
        <v>#VALUE!</v>
      </c>
      <c r="O90" s="1" t="e">
        <v>#VALUE!</v>
      </c>
      <c r="P90" s="1" t="e">
        <v>#VALUE!</v>
      </c>
      <c r="S90" s="1">
        <f t="shared" si="44"/>
        <v>2</v>
      </c>
      <c r="T90" s="1">
        <v>231</v>
      </c>
    </row>
    <row r="91" spans="1:20" x14ac:dyDescent="0.3">
      <c r="A91" s="1">
        <f t="shared" si="43"/>
        <v>2232</v>
      </c>
      <c r="B91" s="2">
        <f>COUNT(B76:B90)-2</f>
        <v>4</v>
      </c>
      <c r="J91" s="1" t="str">
        <f t="shared" ref="J91" si="59">CONCATENATE(J89,"2")</f>
        <v>72</v>
      </c>
      <c r="M91" s="1" t="e">
        <v>#VALUE!</v>
      </c>
      <c r="N91" s="1" t="e">
        <v>#VALUE!</v>
      </c>
      <c r="O91" s="1" t="e">
        <v>#VALUE!</v>
      </c>
      <c r="P91" s="1" t="e">
        <v>#VALUE!</v>
      </c>
      <c r="S91" s="1">
        <f t="shared" si="44"/>
        <v>2</v>
      </c>
      <c r="T91" s="1">
        <v>232</v>
      </c>
    </row>
    <row r="92" spans="1:20" x14ac:dyDescent="0.3">
      <c r="A92" s="1">
        <f t="shared" si="43"/>
        <v>2233</v>
      </c>
      <c r="J92" s="1" t="str">
        <f t="shared" ref="J92" si="60">CONCATENATE(J89,"3")</f>
        <v>73</v>
      </c>
      <c r="M92" s="1" t="e">
        <v>#VALUE!</v>
      </c>
      <c r="N92" s="1" t="e">
        <v>#VALUE!</v>
      </c>
      <c r="O92" s="1" t="e">
        <v>#VALUE!</v>
      </c>
      <c r="P92" s="1" t="e">
        <v>#VALUE!</v>
      </c>
      <c r="S92" s="1">
        <f t="shared" si="44"/>
        <v>2</v>
      </c>
      <c r="T92" s="1">
        <v>233</v>
      </c>
    </row>
    <row r="93" spans="1:20" x14ac:dyDescent="0.3">
      <c r="A93" s="1">
        <f t="shared" si="43"/>
        <v>2234</v>
      </c>
      <c r="B93" s="54" t="s">
        <v>25</v>
      </c>
      <c r="C93" s="54"/>
      <c r="D93" s="54"/>
      <c r="E93" s="54"/>
      <c r="F93" s="54"/>
      <c r="G93" s="54"/>
      <c r="H93" s="54"/>
      <c r="J93" s="1">
        <f t="shared" ref="J93" si="61">J89-1</f>
        <v>6</v>
      </c>
      <c r="M93" s="1" t="s">
        <v>2</v>
      </c>
      <c r="N93" s="1" t="s">
        <v>3</v>
      </c>
      <c r="O93" s="1" t="s">
        <v>4</v>
      </c>
      <c r="P93" s="1" t="s">
        <v>5</v>
      </c>
      <c r="S93" s="1">
        <f t="shared" si="44"/>
        <v>2</v>
      </c>
      <c r="T93" s="1">
        <v>234</v>
      </c>
    </row>
    <row r="94" spans="1:20" x14ac:dyDescent="0.3">
      <c r="A94" s="1">
        <f t="shared" si="43"/>
        <v>2235</v>
      </c>
      <c r="B94" s="56"/>
      <c r="C94" s="56"/>
      <c r="D94" s="56"/>
      <c r="E94" s="56"/>
      <c r="F94" s="56"/>
      <c r="G94" s="56"/>
      <c r="H94" s="56"/>
      <c r="J94" s="1" t="str">
        <f t="shared" ref="J94" si="62">CONCATENATE(J93,"1")</f>
        <v>61</v>
      </c>
      <c r="M94" s="1" t="e">
        <f t="array" ref="M94:P96">LINEST($B76:$B83,$C76:$C83^{1,2,3},TRUE,TRUE)</f>
        <v>#VALUE!</v>
      </c>
      <c r="N94" s="1" t="e">
        <v>#VALUE!</v>
      </c>
      <c r="O94" s="1" t="e">
        <v>#VALUE!</v>
      </c>
      <c r="P94" s="1" t="e">
        <v>#VALUE!</v>
      </c>
      <c r="S94" s="1">
        <f t="shared" si="44"/>
        <v>2</v>
      </c>
      <c r="T94" s="1">
        <v>235</v>
      </c>
    </row>
    <row r="95" spans="1:20" x14ac:dyDescent="0.3">
      <c r="A95" s="1">
        <f t="shared" si="43"/>
        <v>2236</v>
      </c>
      <c r="B95" s="56"/>
      <c r="C95" s="56"/>
      <c r="D95" s="56"/>
      <c r="E95" s="56"/>
      <c r="F95" s="56"/>
      <c r="G95" s="56"/>
      <c r="H95" s="56"/>
      <c r="J95" s="1" t="str">
        <f t="shared" ref="J95" si="63">CONCATENATE(J93,"2")</f>
        <v>62</v>
      </c>
      <c r="M95" s="1" t="e">
        <v>#VALUE!</v>
      </c>
      <c r="N95" s="1" t="e">
        <v>#VALUE!</v>
      </c>
      <c r="O95" s="1" t="e">
        <v>#VALUE!</v>
      </c>
      <c r="P95" s="1" t="e">
        <v>#VALUE!</v>
      </c>
      <c r="S95" s="1">
        <f t="shared" si="44"/>
        <v>2</v>
      </c>
      <c r="T95" s="1">
        <v>236</v>
      </c>
    </row>
    <row r="96" spans="1:20" x14ac:dyDescent="0.3">
      <c r="A96" s="1">
        <f t="shared" si="43"/>
        <v>2237</v>
      </c>
      <c r="J96" s="1" t="str">
        <f t="shared" ref="J96" si="64">CONCATENATE(J93,"3")</f>
        <v>63</v>
      </c>
      <c r="M96" s="1" t="e">
        <v>#VALUE!</v>
      </c>
      <c r="N96" s="1" t="e">
        <v>#VALUE!</v>
      </c>
      <c r="O96" s="1" t="e">
        <v>#VALUE!</v>
      </c>
      <c r="P96" s="1" t="e">
        <v>#VALUE!</v>
      </c>
      <c r="S96" s="1">
        <f t="shared" si="44"/>
        <v>2</v>
      </c>
      <c r="T96" s="1">
        <v>237</v>
      </c>
    </row>
    <row r="97" spans="1:20" ht="15" customHeight="1" x14ac:dyDescent="0.3">
      <c r="A97" s="1">
        <f t="shared" si="43"/>
        <v>2238</v>
      </c>
      <c r="J97" s="1">
        <f t="shared" ref="J97" si="65">J93-1</f>
        <v>5</v>
      </c>
      <c r="M97" s="1" t="s">
        <v>2</v>
      </c>
      <c r="N97" s="1" t="s">
        <v>3</v>
      </c>
      <c r="O97" s="1" t="s">
        <v>4</v>
      </c>
      <c r="P97" s="1" t="s">
        <v>5</v>
      </c>
      <c r="S97" s="1">
        <f t="shared" si="44"/>
        <v>2</v>
      </c>
      <c r="T97" s="1">
        <v>238</v>
      </c>
    </row>
    <row r="98" spans="1:20" x14ac:dyDescent="0.3">
      <c r="A98" s="1">
        <f t="shared" si="43"/>
        <v>2239</v>
      </c>
      <c r="J98" s="1" t="str">
        <f t="shared" ref="J98" si="66">CONCATENATE(J97,"1")</f>
        <v>51</v>
      </c>
      <c r="M98" s="1" t="e">
        <f t="array" ref="M98:P100">LINEST($B76:$B82,$C76:$C82^{1,2,3},TRUE,TRUE)</f>
        <v>#VALUE!</v>
      </c>
      <c r="N98" s="1" t="e">
        <v>#VALUE!</v>
      </c>
      <c r="O98" s="1" t="e">
        <v>#VALUE!</v>
      </c>
      <c r="P98" s="1" t="e">
        <v>#VALUE!</v>
      </c>
      <c r="S98" s="1">
        <f t="shared" si="44"/>
        <v>2</v>
      </c>
      <c r="T98" s="1">
        <v>239</v>
      </c>
    </row>
    <row r="99" spans="1:20" x14ac:dyDescent="0.3">
      <c r="A99" s="1">
        <f t="shared" si="43"/>
        <v>2240</v>
      </c>
      <c r="E99" s="26"/>
      <c r="F99" s="26"/>
      <c r="G99" s="26"/>
      <c r="H99" s="26"/>
      <c r="J99" s="1" t="str">
        <f t="shared" ref="J99" si="67">CONCATENATE(J97,"2")</f>
        <v>52</v>
      </c>
      <c r="M99" s="1" t="e">
        <v>#VALUE!</v>
      </c>
      <c r="N99" s="1" t="e">
        <v>#VALUE!</v>
      </c>
      <c r="O99" s="1" t="e">
        <v>#VALUE!</v>
      </c>
      <c r="P99" s="1" t="e">
        <v>#VALUE!</v>
      </c>
      <c r="S99" s="1">
        <f t="shared" si="44"/>
        <v>2</v>
      </c>
      <c r="T99" s="1">
        <v>240</v>
      </c>
    </row>
    <row r="100" spans="1:20" x14ac:dyDescent="0.3">
      <c r="A100" s="1">
        <f t="shared" si="43"/>
        <v>2241</v>
      </c>
      <c r="B100" s="54" t="s">
        <v>90</v>
      </c>
      <c r="C100" s="54"/>
      <c r="D100" s="54"/>
      <c r="E100" s="27">
        <f>IF(D62="","",MAX(E101,E102))</f>
        <v>1</v>
      </c>
      <c r="F100" s="26"/>
      <c r="G100" s="26"/>
      <c r="H100" s="26"/>
      <c r="J100" s="1" t="str">
        <f t="shared" ref="J100" si="68">CONCATENATE(J97,"3")</f>
        <v>53</v>
      </c>
      <c r="M100" s="1" t="e">
        <v>#VALUE!</v>
      </c>
      <c r="N100" s="1" t="e">
        <v>#VALUE!</v>
      </c>
      <c r="O100" s="1" t="e">
        <v>#VALUE!</v>
      </c>
      <c r="P100" s="1" t="e">
        <v>#VALUE!</v>
      </c>
      <c r="S100" s="1">
        <f t="shared" si="44"/>
        <v>2</v>
      </c>
      <c r="T100" s="1">
        <v>241</v>
      </c>
    </row>
    <row r="101" spans="1:20" x14ac:dyDescent="0.3">
      <c r="A101" s="1">
        <f t="shared" si="43"/>
        <v>2242</v>
      </c>
      <c r="B101" s="2" t="s">
        <v>26</v>
      </c>
      <c r="C101" s="2" t="s">
        <v>27</v>
      </c>
      <c r="D101" s="2" t="s">
        <v>28</v>
      </c>
      <c r="E101" s="28">
        <f>ABS(MIN(D102:D116))</f>
        <v>0</v>
      </c>
      <c r="F101" s="26"/>
      <c r="H101" s="26"/>
      <c r="J101" s="1">
        <f t="shared" ref="J101" si="69">J97-1</f>
        <v>4</v>
      </c>
      <c r="M101" s="1" t="s">
        <v>2</v>
      </c>
      <c r="N101" s="1" t="s">
        <v>3</v>
      </c>
      <c r="O101" s="1" t="s">
        <v>4</v>
      </c>
      <c r="P101" s="1" t="s">
        <v>5</v>
      </c>
      <c r="S101" s="1">
        <f t="shared" si="44"/>
        <v>2</v>
      </c>
      <c r="T101" s="1">
        <v>242</v>
      </c>
    </row>
    <row r="102" spans="1:20" x14ac:dyDescent="0.3">
      <c r="A102" s="1">
        <f t="shared" si="43"/>
        <v>2243</v>
      </c>
      <c r="B102" s="2">
        <f>C76-B76</f>
        <v>-1</v>
      </c>
      <c r="C102" s="2">
        <f t="shared" ref="C102:C116" si="70">H76-G76</f>
        <v>-1</v>
      </c>
      <c r="D102" s="2">
        <f>C102-B102</f>
        <v>0</v>
      </c>
      <c r="E102" s="28">
        <f>ABS(MAX(D102:D116))</f>
        <v>1</v>
      </c>
      <c r="F102" s="26"/>
      <c r="H102" s="26"/>
      <c r="J102" s="1" t="str">
        <f t="shared" ref="J102" si="71">CONCATENATE(J101,"1")</f>
        <v>41</v>
      </c>
      <c r="M102" s="1">
        <f t="array" ref="M102:P104">LINEST($B76:$B81,$C76:$C81^{1,2,3},TRUE,TRUE)</f>
        <v>-2.3107083749117935E-7</v>
      </c>
      <c r="N102" s="1">
        <v>6.3483257297121387E-4</v>
      </c>
      <c r="O102" s="1">
        <v>0.42144865504733053</v>
      </c>
      <c r="P102" s="1">
        <v>175.88221038859828</v>
      </c>
      <c r="S102" s="1">
        <f t="shared" si="44"/>
        <v>2</v>
      </c>
      <c r="T102" s="1">
        <v>243</v>
      </c>
    </row>
    <row r="103" spans="1:20" x14ac:dyDescent="0.3">
      <c r="A103" s="1">
        <f t="shared" si="43"/>
        <v>2244</v>
      </c>
      <c r="B103" s="2">
        <f t="shared" ref="B103:B116" si="72">C77-B77</f>
        <v>-1</v>
      </c>
      <c r="C103" s="2">
        <f t="shared" si="70"/>
        <v>-1</v>
      </c>
      <c r="D103" s="2">
        <f t="shared" ref="D103:D116" si="73">C103-B103</f>
        <v>0</v>
      </c>
      <c r="E103" s="29" t="s">
        <v>32</v>
      </c>
      <c r="F103" s="26"/>
      <c r="H103" s="26"/>
      <c r="J103" s="1" t="str">
        <f t="shared" ref="J103" si="74">CONCATENATE(J101,"2")</f>
        <v>42</v>
      </c>
      <c r="M103" s="1">
        <v>1.0872260418491809E-7</v>
      </c>
      <c r="N103" s="1">
        <v>3.1070814949738814E-4</v>
      </c>
      <c r="O103" s="1">
        <v>0.29417889756252502</v>
      </c>
      <c r="P103" s="1">
        <v>92.24544360597298</v>
      </c>
      <c r="S103" s="1">
        <f t="shared" si="44"/>
        <v>2</v>
      </c>
      <c r="T103" s="1">
        <v>244</v>
      </c>
    </row>
    <row r="104" spans="1:20" x14ac:dyDescent="0.3">
      <c r="A104" s="1">
        <f t="shared" si="43"/>
        <v>2245</v>
      </c>
      <c r="B104" s="2">
        <f t="shared" si="72"/>
        <v>-1</v>
      </c>
      <c r="C104" s="2">
        <f t="shared" si="70"/>
        <v>0</v>
      </c>
      <c r="D104" s="2">
        <f t="shared" si="73"/>
        <v>1</v>
      </c>
      <c r="E104" s="27">
        <f>IF(D62="","",MAX(E105,E106))</f>
        <v>1</v>
      </c>
      <c r="F104" s="26"/>
      <c r="H104" s="26"/>
      <c r="J104" s="1" t="str">
        <f t="shared" ref="J104" si="75">CONCATENATE(J101,"3")</f>
        <v>43</v>
      </c>
      <c r="M104" s="1">
        <v>0.99999888537112003</v>
      </c>
      <c r="N104" s="1">
        <v>0.18420034618709938</v>
      </c>
      <c r="O104" s="1" t="e">
        <v>#N/A</v>
      </c>
      <c r="P104" s="1" t="e">
        <v>#N/A</v>
      </c>
      <c r="S104" s="1">
        <f t="shared" si="44"/>
        <v>2</v>
      </c>
      <c r="T104" s="1">
        <v>245</v>
      </c>
    </row>
    <row r="105" spans="1:20" x14ac:dyDescent="0.3">
      <c r="A105" s="1">
        <f t="shared" si="43"/>
        <v>2246</v>
      </c>
      <c r="B105" s="2">
        <f t="shared" si="72"/>
        <v>-1</v>
      </c>
      <c r="C105" s="2">
        <f t="shared" si="70"/>
        <v>0</v>
      </c>
      <c r="D105" s="2">
        <f t="shared" si="73"/>
        <v>1</v>
      </c>
      <c r="E105" s="28">
        <f>ABS(MIN(B102:B116))</f>
        <v>1</v>
      </c>
      <c r="F105" s="26"/>
      <c r="H105" s="26"/>
      <c r="J105" s="1">
        <f t="shared" ref="J105" si="76">J101-1</f>
        <v>3</v>
      </c>
      <c r="M105" s="1" t="s">
        <v>2</v>
      </c>
      <c r="N105" s="1" t="s">
        <v>3</v>
      </c>
      <c r="O105" s="1" t="s">
        <v>4</v>
      </c>
      <c r="P105" s="1" t="s">
        <v>5</v>
      </c>
      <c r="S105" s="1">
        <f t="shared" si="44"/>
        <v>2</v>
      </c>
      <c r="T105" s="1">
        <v>246</v>
      </c>
    </row>
    <row r="106" spans="1:20" x14ac:dyDescent="0.3">
      <c r="A106" s="1">
        <f t="shared" si="43"/>
        <v>2247</v>
      </c>
      <c r="B106" s="2">
        <f t="shared" si="72"/>
        <v>-1</v>
      </c>
      <c r="C106" s="2">
        <f t="shared" si="70"/>
        <v>0</v>
      </c>
      <c r="D106" s="2">
        <f t="shared" si="73"/>
        <v>1</v>
      </c>
      <c r="E106" s="28">
        <f>ABS(MAX(B102:B116))</f>
        <v>0</v>
      </c>
      <c r="F106" s="26"/>
      <c r="H106" s="26"/>
      <c r="J106" s="1" t="str">
        <f t="shared" ref="J106" si="77">CONCATENATE(J105,"1")</f>
        <v>31</v>
      </c>
      <c r="M106" s="1">
        <f t="array" ref="M106:P108">LINEST($B76:$B80,$C76:$C80^{1,2,3},TRUE,TRUE)</f>
        <v>0</v>
      </c>
      <c r="N106" s="1">
        <v>0</v>
      </c>
      <c r="O106" s="1">
        <v>1</v>
      </c>
      <c r="P106" s="1">
        <v>1</v>
      </c>
      <c r="S106" s="1">
        <f t="shared" si="44"/>
        <v>2</v>
      </c>
      <c r="T106" s="1">
        <v>247</v>
      </c>
    </row>
    <row r="107" spans="1:20" x14ac:dyDescent="0.3">
      <c r="A107" s="1">
        <f t="shared" si="43"/>
        <v>2248</v>
      </c>
      <c r="B107" s="2">
        <f t="shared" si="72"/>
        <v>0</v>
      </c>
      <c r="C107" s="2">
        <f t="shared" si="70"/>
        <v>0</v>
      </c>
      <c r="D107" s="2">
        <f t="shared" si="73"/>
        <v>0</v>
      </c>
      <c r="E107" s="29" t="s">
        <v>33</v>
      </c>
      <c r="F107" s="26"/>
      <c r="J107" s="1" t="str">
        <f t="shared" ref="J107" si="78">CONCATENATE(J105,"2")</f>
        <v>32</v>
      </c>
      <c r="M107" s="1">
        <v>0</v>
      </c>
      <c r="N107" s="1">
        <v>0</v>
      </c>
      <c r="O107" s="1">
        <v>0</v>
      </c>
      <c r="P107" s="1">
        <v>0</v>
      </c>
      <c r="S107" s="1">
        <f t="shared" si="44"/>
        <v>2</v>
      </c>
      <c r="T107" s="1">
        <v>248</v>
      </c>
    </row>
    <row r="108" spans="1:20" x14ac:dyDescent="0.3">
      <c r="A108" s="1">
        <f t="shared" si="43"/>
        <v>2249</v>
      </c>
      <c r="B108" s="2">
        <f t="shared" si="72"/>
        <v>0</v>
      </c>
      <c r="C108" s="2">
        <f t="shared" si="70"/>
        <v>0</v>
      </c>
      <c r="D108" s="2">
        <f t="shared" si="73"/>
        <v>0</v>
      </c>
      <c r="E108" s="27">
        <f>IF(D62="","",MAX(E109,E110))</f>
        <v>1</v>
      </c>
      <c r="F108" s="26"/>
      <c r="J108" s="1" t="str">
        <f t="shared" ref="J108" si="79">CONCATENATE(J105,"3")</f>
        <v>33</v>
      </c>
      <c r="M108" s="1">
        <v>1</v>
      </c>
      <c r="N108" s="1">
        <v>0</v>
      </c>
      <c r="O108" s="1" t="e">
        <v>#N/A</v>
      </c>
      <c r="P108" s="1" t="e">
        <v>#N/A</v>
      </c>
      <c r="S108" s="1">
        <f t="shared" si="44"/>
        <v>2</v>
      </c>
      <c r="T108" s="1">
        <v>249</v>
      </c>
    </row>
    <row r="109" spans="1:20" x14ac:dyDescent="0.3">
      <c r="A109" s="1">
        <f t="shared" si="43"/>
        <v>2250</v>
      </c>
      <c r="B109" s="2">
        <f t="shared" si="72"/>
        <v>0</v>
      </c>
      <c r="C109" s="2">
        <f t="shared" si="70"/>
        <v>0</v>
      </c>
      <c r="D109" s="2">
        <f t="shared" si="73"/>
        <v>0</v>
      </c>
      <c r="E109" s="28">
        <f>ABS(MIN(D76:D90))</f>
        <v>1</v>
      </c>
      <c r="F109" s="26"/>
      <c r="J109" s="1">
        <f t="shared" ref="J109" si="80">J105-1</f>
        <v>2</v>
      </c>
      <c r="N109" s="1" t="s">
        <v>3</v>
      </c>
      <c r="O109" s="1" t="s">
        <v>4</v>
      </c>
      <c r="P109" s="1" t="s">
        <v>5</v>
      </c>
      <c r="S109" s="1">
        <f t="shared" si="44"/>
        <v>2</v>
      </c>
      <c r="T109" s="1">
        <v>250</v>
      </c>
    </row>
    <row r="110" spans="1:20" x14ac:dyDescent="0.3">
      <c r="A110" s="1">
        <f t="shared" si="43"/>
        <v>2251</v>
      </c>
      <c r="B110" s="2">
        <f t="shared" si="72"/>
        <v>0</v>
      </c>
      <c r="C110" s="2">
        <f t="shared" si="70"/>
        <v>0</v>
      </c>
      <c r="D110" s="2">
        <f t="shared" si="73"/>
        <v>0</v>
      </c>
      <c r="E110" s="28">
        <f>ABS(MAX(D76:D90))</f>
        <v>1</v>
      </c>
      <c r="F110" s="26"/>
      <c r="J110" s="1" t="str">
        <f t="shared" ref="J110" si="81">CONCATENATE(J109,"1")</f>
        <v>21</v>
      </c>
      <c r="N110" s="1">
        <f t="array" ref="N110:P112">LINEST($B76:$B79,$C76:$C79^{1,2},TRUE,TRUE)</f>
        <v>0</v>
      </c>
      <c r="O110" s="1">
        <v>1</v>
      </c>
      <c r="P110" s="1">
        <v>1</v>
      </c>
      <c r="S110" s="1">
        <f t="shared" si="44"/>
        <v>2</v>
      </c>
      <c r="T110" s="1">
        <v>251</v>
      </c>
    </row>
    <row r="111" spans="1:20" x14ac:dyDescent="0.3">
      <c r="A111" s="1">
        <f t="shared" si="43"/>
        <v>2252</v>
      </c>
      <c r="B111" s="2">
        <f t="shared" si="72"/>
        <v>0</v>
      </c>
      <c r="C111" s="2">
        <f t="shared" si="70"/>
        <v>0</v>
      </c>
      <c r="D111" s="2">
        <f t="shared" si="73"/>
        <v>0</v>
      </c>
      <c r="E111" s="26"/>
      <c r="F111" s="26"/>
      <c r="J111" s="1" t="str">
        <f t="shared" ref="J111" si="82">CONCATENATE(J109,"2")</f>
        <v>22</v>
      </c>
      <c r="N111" s="1">
        <v>0</v>
      </c>
      <c r="O111" s="1">
        <v>0</v>
      </c>
      <c r="P111" s="1">
        <v>0</v>
      </c>
      <c r="S111" s="1">
        <f t="shared" si="44"/>
        <v>2</v>
      </c>
      <c r="T111" s="1">
        <v>252</v>
      </c>
    </row>
    <row r="112" spans="1:20" x14ac:dyDescent="0.3">
      <c r="A112" s="1">
        <f t="shared" si="43"/>
        <v>2253</v>
      </c>
      <c r="B112" s="2">
        <f t="shared" si="72"/>
        <v>0</v>
      </c>
      <c r="C112" s="2">
        <f t="shared" si="70"/>
        <v>0</v>
      </c>
      <c r="D112" s="2">
        <f t="shared" si="73"/>
        <v>0</v>
      </c>
      <c r="E112" s="26"/>
      <c r="F112" s="26"/>
      <c r="J112" s="1" t="str">
        <f t="shared" ref="J112" si="83">CONCATENATE(J109,"3")</f>
        <v>23</v>
      </c>
      <c r="N112" s="1">
        <v>1</v>
      </c>
      <c r="O112" s="1">
        <v>0</v>
      </c>
      <c r="P112" s="1" t="e">
        <v>#N/A</v>
      </c>
      <c r="S112" s="1">
        <f t="shared" si="44"/>
        <v>2</v>
      </c>
      <c r="T112" s="1">
        <v>253</v>
      </c>
    </row>
    <row r="113" spans="1:20" x14ac:dyDescent="0.3">
      <c r="A113" s="1">
        <f t="shared" si="43"/>
        <v>2254</v>
      </c>
      <c r="B113" s="2">
        <f t="shared" si="72"/>
        <v>0</v>
      </c>
      <c r="C113" s="2">
        <f t="shared" si="70"/>
        <v>0</v>
      </c>
      <c r="D113" s="2">
        <f t="shared" si="73"/>
        <v>0</v>
      </c>
      <c r="E113" s="26"/>
      <c r="F113" s="26"/>
      <c r="J113" s="1">
        <f>J109-1</f>
        <v>1</v>
      </c>
      <c r="O113" s="1" t="s">
        <v>4</v>
      </c>
      <c r="P113" s="1" t="s">
        <v>5</v>
      </c>
      <c r="S113" s="1">
        <f t="shared" si="44"/>
        <v>2</v>
      </c>
      <c r="T113" s="1">
        <v>254</v>
      </c>
    </row>
    <row r="114" spans="1:20" x14ac:dyDescent="0.3">
      <c r="A114" s="1">
        <f t="shared" si="43"/>
        <v>2255</v>
      </c>
      <c r="B114" s="2">
        <f t="shared" si="72"/>
        <v>0</v>
      </c>
      <c r="C114" s="2">
        <f t="shared" si="70"/>
        <v>0</v>
      </c>
      <c r="D114" s="2">
        <f t="shared" si="73"/>
        <v>0</v>
      </c>
      <c r="E114" s="26"/>
      <c r="F114" s="26"/>
      <c r="J114" s="1" t="str">
        <f>CONCATENATE(J113,"1")</f>
        <v>11</v>
      </c>
      <c r="O114" s="1">
        <f t="array" ref="O114:P116">LINEST($B76:$B78,$C76:$C78^{1},TRUE,TRUE)</f>
        <v>1.0000000000000002</v>
      </c>
      <c r="P114" s="1">
        <v>0.99999999999977263</v>
      </c>
      <c r="S114" s="1">
        <f t="shared" si="44"/>
        <v>2</v>
      </c>
      <c r="T114" s="1">
        <v>255</v>
      </c>
    </row>
    <row r="115" spans="1:20" x14ac:dyDescent="0.3">
      <c r="A115" s="1">
        <f t="shared" si="43"/>
        <v>2256</v>
      </c>
      <c r="B115" s="2">
        <f t="shared" si="72"/>
        <v>0</v>
      </c>
      <c r="C115" s="2">
        <f t="shared" si="70"/>
        <v>0</v>
      </c>
      <c r="D115" s="2">
        <f t="shared" si="73"/>
        <v>0</v>
      </c>
      <c r="E115" s="26"/>
      <c r="F115" s="26"/>
      <c r="J115" s="1" t="str">
        <f>CONCATENATE(J113,"2")</f>
        <v>12</v>
      </c>
      <c r="O115" s="1">
        <v>0</v>
      </c>
      <c r="P115" s="1">
        <v>0</v>
      </c>
      <c r="S115" s="1">
        <f t="shared" si="44"/>
        <v>2</v>
      </c>
      <c r="T115" s="1">
        <v>256</v>
      </c>
    </row>
    <row r="116" spans="1:20" x14ac:dyDescent="0.3">
      <c r="A116" s="1">
        <f t="shared" si="43"/>
        <v>2257</v>
      </c>
      <c r="B116" s="2">
        <f t="shared" si="72"/>
        <v>0</v>
      </c>
      <c r="C116" s="2">
        <f t="shared" si="70"/>
        <v>0</v>
      </c>
      <c r="D116" s="2">
        <f t="shared" si="73"/>
        <v>0</v>
      </c>
      <c r="E116" s="30"/>
      <c r="F116" s="30"/>
      <c r="J116" s="1" t="str">
        <f>CONCATENATE(J113,"3")</f>
        <v>13</v>
      </c>
      <c r="O116" s="1">
        <v>1</v>
      </c>
      <c r="P116" s="1">
        <v>0</v>
      </c>
      <c r="S116" s="1">
        <f t="shared" si="44"/>
        <v>2</v>
      </c>
      <c r="T116" s="1">
        <v>257</v>
      </c>
    </row>
    <row r="117" spans="1:20" s="8" customFormat="1" x14ac:dyDescent="0.3"/>
    <row r="118" spans="1:20" x14ac:dyDescent="0.3">
      <c r="A118" s="1">
        <f t="shared" ref="A118:A174" si="84">ROUND(CONCATENATE(S118,T118),0)</f>
        <v>3201</v>
      </c>
      <c r="B118" s="57" t="s">
        <v>0</v>
      </c>
      <c r="C118" s="57"/>
      <c r="D118" s="56" t="s">
        <v>46</v>
      </c>
      <c r="E118" s="56"/>
      <c r="F118" s="56"/>
      <c r="G118" s="56"/>
      <c r="H118" s="56"/>
      <c r="L118" s="1">
        <v>1</v>
      </c>
      <c r="M118" s="1">
        <v>2</v>
      </c>
      <c r="N118" s="1">
        <v>3</v>
      </c>
      <c r="O118" s="1">
        <v>4</v>
      </c>
      <c r="P118" s="1">
        <v>5</v>
      </c>
      <c r="Q118" s="1">
        <v>6</v>
      </c>
      <c r="R118" s="1">
        <v>7</v>
      </c>
      <c r="S118" s="1">
        <f>S116+1</f>
        <v>3</v>
      </c>
      <c r="T118" s="1">
        <v>201</v>
      </c>
    </row>
    <row r="119" spans="1:20" x14ac:dyDescent="0.3">
      <c r="A119" s="1">
        <f t="shared" si="84"/>
        <v>3202</v>
      </c>
      <c r="B119" s="57"/>
      <c r="C119" s="57"/>
      <c r="D119" s="57"/>
      <c r="E119" s="57"/>
      <c r="F119" s="57"/>
      <c r="G119" s="57"/>
      <c r="H119" s="57"/>
      <c r="K119" s="2" t="s">
        <v>1</v>
      </c>
      <c r="L119" s="2"/>
      <c r="M119" s="2" t="s">
        <v>2</v>
      </c>
      <c r="N119" s="2" t="s">
        <v>3</v>
      </c>
      <c r="O119" s="2" t="s">
        <v>4</v>
      </c>
      <c r="P119" s="2" t="s">
        <v>5</v>
      </c>
      <c r="S119" s="1">
        <f>S118</f>
        <v>3</v>
      </c>
      <c r="T119" s="1">
        <v>202</v>
      </c>
    </row>
    <row r="120" spans="1:20" x14ac:dyDescent="0.3">
      <c r="A120" s="1">
        <f t="shared" si="84"/>
        <v>3203</v>
      </c>
      <c r="B120" s="64" t="s">
        <v>6</v>
      </c>
      <c r="C120" s="64"/>
      <c r="D120" s="56" t="s">
        <v>116</v>
      </c>
      <c r="E120" s="56"/>
      <c r="F120" s="56"/>
      <c r="G120" s="56"/>
      <c r="H120" s="56"/>
      <c r="K120" s="3">
        <f>IF(K122&gt;=3,N122,LOOKUP(15-($B149+1),M118:R118,M122:P122))</f>
        <v>3.9848709513484896E-2</v>
      </c>
      <c r="L120" s="2" t="str">
        <f>CONCATENATE($B149,"1")</f>
        <v>51</v>
      </c>
      <c r="M120" s="2">
        <f>VLOOKUP(L120,J123:P174,O118,FALSE)</f>
        <v>1.9799577877805459E-7</v>
      </c>
      <c r="N120" s="2">
        <f>VLOOKUP(L120,J123:P174,P118,FALSE)</f>
        <v>-5.2199501064470032E-4</v>
      </c>
      <c r="O120" s="2">
        <f>VLOOKUP(L120,J123:P174,Q118,FALSE)</f>
        <v>1.447998793731057</v>
      </c>
      <c r="P120" s="2">
        <f>VLOOKUP(L120,J123:P174,R118,FALSE)</f>
        <v>-123.89991714488653</v>
      </c>
      <c r="S120" s="1">
        <f t="shared" ref="S120:S174" si="85">S119</f>
        <v>3</v>
      </c>
      <c r="T120" s="1">
        <v>203</v>
      </c>
    </row>
    <row r="121" spans="1:20" x14ac:dyDescent="0.3">
      <c r="A121" s="1">
        <f t="shared" si="84"/>
        <v>3204</v>
      </c>
      <c r="B121" s="57" t="s">
        <v>7</v>
      </c>
      <c r="C121" s="57"/>
      <c r="D121" s="56" t="s">
        <v>98</v>
      </c>
      <c r="E121" s="56"/>
      <c r="F121" s="56"/>
      <c r="G121" s="56"/>
      <c r="H121" s="56"/>
      <c r="K121" s="2" t="s">
        <v>8</v>
      </c>
      <c r="L121" s="2" t="str">
        <f>CONCATENATE($B149,"2")</f>
        <v>52</v>
      </c>
      <c r="M121" s="2">
        <f>VLOOKUP(L121,J123:P174,O118,FALSE)</f>
        <v>3.8759918974912057E-8</v>
      </c>
      <c r="N121" s="2">
        <f>VLOOKUP(L121,J123:P174,P118,FALSE)</f>
        <v>1.075219015078831E-4</v>
      </c>
      <c r="O121" s="2">
        <f>VLOOKUP(L121,J123:P174,Q118,FALSE)</f>
        <v>9.8976080981818912E-2</v>
      </c>
      <c r="P121" s="2">
        <f>VLOOKUP(L121,J123:P174,R118,FALSE)</f>
        <v>30.230602513576905</v>
      </c>
      <c r="S121" s="1">
        <f t="shared" si="85"/>
        <v>3</v>
      </c>
      <c r="T121" s="1">
        <v>204</v>
      </c>
    </row>
    <row r="122" spans="1:20" x14ac:dyDescent="0.3">
      <c r="A122" s="1">
        <f t="shared" si="84"/>
        <v>3205</v>
      </c>
      <c r="B122" s="57" t="s">
        <v>9</v>
      </c>
      <c r="C122" s="57"/>
      <c r="D122" s="56" t="s">
        <v>91</v>
      </c>
      <c r="E122" s="56"/>
      <c r="F122" s="56"/>
      <c r="G122" s="56"/>
      <c r="H122" s="56"/>
      <c r="K122" s="3">
        <f>IF(B149&gt;3,3,B149)</f>
        <v>3</v>
      </c>
      <c r="L122" s="2" t="str">
        <f>CONCATENATE($B149,"3")</f>
        <v>53</v>
      </c>
      <c r="M122" s="2">
        <f>VLOOKUP(L122,J123:P174,O118,FALSE)</f>
        <v>0.99999989122917754</v>
      </c>
      <c r="N122" s="2">
        <f>VLOOKUP(L122,J123:P174,P118,FALSE)</f>
        <v>3.9848709513484896E-2</v>
      </c>
      <c r="O122" s="2" t="e">
        <f>VLOOKUP(L122,J123:P174,Q118,FALSE)</f>
        <v>#N/A</v>
      </c>
      <c r="P122" s="2" t="e">
        <f>VLOOKUP(L122,J123:P174,R118,FALSE)</f>
        <v>#N/A</v>
      </c>
      <c r="S122" s="1">
        <f t="shared" si="85"/>
        <v>3</v>
      </c>
      <c r="T122" s="1">
        <v>205</v>
      </c>
    </row>
    <row r="123" spans="1:20" x14ac:dyDescent="0.3">
      <c r="A123" s="1">
        <f t="shared" si="84"/>
        <v>3206</v>
      </c>
      <c r="B123" s="57" t="s">
        <v>10</v>
      </c>
      <c r="C123" s="57"/>
      <c r="D123" s="62" t="s">
        <v>145</v>
      </c>
      <c r="E123" s="56"/>
      <c r="F123" s="56"/>
      <c r="G123" s="56"/>
      <c r="H123" s="56"/>
      <c r="J123" s="1">
        <v>13</v>
      </c>
      <c r="M123" s="1" t="s">
        <v>2</v>
      </c>
      <c r="N123" s="1" t="s">
        <v>3</v>
      </c>
      <c r="O123" s="1" t="s">
        <v>4</v>
      </c>
      <c r="P123" s="1" t="s">
        <v>5</v>
      </c>
      <c r="S123" s="1">
        <f t="shared" si="85"/>
        <v>3</v>
      </c>
      <c r="T123" s="1">
        <v>206</v>
      </c>
    </row>
    <row r="124" spans="1:20" x14ac:dyDescent="0.3">
      <c r="A124" s="1">
        <f t="shared" si="84"/>
        <v>3207</v>
      </c>
      <c r="B124" s="57" t="s">
        <v>11</v>
      </c>
      <c r="C124" s="57"/>
      <c r="D124" s="63">
        <v>45917</v>
      </c>
      <c r="E124" s="63"/>
      <c r="F124" s="63"/>
      <c r="G124" s="63"/>
      <c r="H124" s="63"/>
      <c r="J124" s="1" t="str">
        <f>CONCATENATE(J123,"1")</f>
        <v>131</v>
      </c>
      <c r="M124" s="1" t="e">
        <f t="array" ref="M124:P126">LINEST($B134:$B148,$C134:$C148^{1,2,3},TRUE,TRUE)</f>
        <v>#VALUE!</v>
      </c>
      <c r="N124" s="1" t="e">
        <v>#VALUE!</v>
      </c>
      <c r="O124" s="1" t="e">
        <v>#VALUE!</v>
      </c>
      <c r="P124" s="1" t="e">
        <v>#VALUE!</v>
      </c>
      <c r="S124" s="1">
        <f t="shared" si="85"/>
        <v>3</v>
      </c>
      <c r="T124" s="1">
        <v>207</v>
      </c>
    </row>
    <row r="125" spans="1:20" x14ac:dyDescent="0.3">
      <c r="A125" s="1">
        <f t="shared" si="84"/>
        <v>3208</v>
      </c>
      <c r="B125" s="57" t="s">
        <v>12</v>
      </c>
      <c r="C125" s="57"/>
      <c r="D125" s="58">
        <v>46295</v>
      </c>
      <c r="E125" s="58"/>
      <c r="F125" s="58"/>
      <c r="G125" s="58"/>
      <c r="H125" s="58"/>
      <c r="J125" s="1" t="str">
        <f>CONCATENATE(J123,"2")</f>
        <v>132</v>
      </c>
      <c r="M125" s="1" t="e">
        <v>#VALUE!</v>
      </c>
      <c r="N125" s="1" t="e">
        <v>#VALUE!</v>
      </c>
      <c r="O125" s="1" t="e">
        <v>#VALUE!</v>
      </c>
      <c r="P125" s="1" t="e">
        <v>#VALUE!</v>
      </c>
      <c r="S125" s="1">
        <f t="shared" si="85"/>
        <v>3</v>
      </c>
      <c r="T125" s="1">
        <v>208</v>
      </c>
    </row>
    <row r="126" spans="1:20" x14ac:dyDescent="0.3">
      <c r="A126" s="1">
        <f t="shared" si="84"/>
        <v>3209</v>
      </c>
      <c r="B126" s="57" t="s">
        <v>13</v>
      </c>
      <c r="C126" s="57"/>
      <c r="D126" s="9">
        <v>0.1</v>
      </c>
      <c r="E126" s="54" t="s">
        <v>14</v>
      </c>
      <c r="F126" s="54"/>
      <c r="G126" s="54"/>
      <c r="H126" s="9" t="s">
        <v>59</v>
      </c>
      <c r="J126" s="1" t="str">
        <f>CONCATENATE(J123,"3")</f>
        <v>133</v>
      </c>
      <c r="M126" s="1" t="e">
        <v>#VALUE!</v>
      </c>
      <c r="N126" s="1" t="e">
        <v>#VALUE!</v>
      </c>
      <c r="O126" s="1" t="e">
        <v>#VALUE!</v>
      </c>
      <c r="P126" s="1" t="e">
        <v>#VALUE!</v>
      </c>
      <c r="S126" s="1">
        <f t="shared" si="85"/>
        <v>3</v>
      </c>
      <c r="T126" s="1">
        <v>209</v>
      </c>
    </row>
    <row r="127" spans="1:20" x14ac:dyDescent="0.3">
      <c r="A127" s="1">
        <f t="shared" si="84"/>
        <v>3210</v>
      </c>
      <c r="B127" s="57" t="s">
        <v>15</v>
      </c>
      <c r="C127" s="57"/>
      <c r="D127" s="2">
        <f>MIN(B134:B148)</f>
        <v>799.9</v>
      </c>
      <c r="E127" s="4" t="s">
        <v>16</v>
      </c>
      <c r="F127" s="2">
        <f>MAX(B134:B148)</f>
        <v>1050</v>
      </c>
      <c r="G127" s="5" t="str">
        <f>IF(H126="","",H126)</f>
        <v>hPa</v>
      </c>
      <c r="H127" s="23"/>
      <c r="J127" s="1">
        <f>J123-1</f>
        <v>12</v>
      </c>
      <c r="M127" s="1" t="s">
        <v>2</v>
      </c>
      <c r="N127" s="1" t="s">
        <v>3</v>
      </c>
      <c r="O127" s="1" t="s">
        <v>4</v>
      </c>
      <c r="P127" s="1" t="s">
        <v>5</v>
      </c>
      <c r="S127" s="1">
        <f t="shared" si="85"/>
        <v>3</v>
      </c>
      <c r="T127" s="1">
        <v>210</v>
      </c>
    </row>
    <row r="128" spans="1:20" x14ac:dyDescent="0.3">
      <c r="A128" s="1">
        <f t="shared" si="84"/>
        <v>3211</v>
      </c>
      <c r="J128" s="1" t="str">
        <f>CONCATENATE(J127,"1")</f>
        <v>121</v>
      </c>
      <c r="M128" s="1" t="e">
        <f t="array" ref="M128:P130">LINEST($B134:$B147,$C134:$C147^{1,2,3},TRUE,TRUE)</f>
        <v>#VALUE!</v>
      </c>
      <c r="N128" s="1" t="e">
        <v>#VALUE!</v>
      </c>
      <c r="O128" s="1" t="e">
        <v>#VALUE!</v>
      </c>
      <c r="P128" s="1" t="e">
        <v>#VALUE!</v>
      </c>
      <c r="S128" s="1">
        <f t="shared" si="85"/>
        <v>3</v>
      </c>
      <c r="T128" s="1">
        <v>211</v>
      </c>
    </row>
    <row r="129" spans="1:20" x14ac:dyDescent="0.3">
      <c r="A129" s="1">
        <f t="shared" si="84"/>
        <v>3212</v>
      </c>
      <c r="B129" s="59" t="s">
        <v>17</v>
      </c>
      <c r="C129" s="59"/>
      <c r="D129" s="59"/>
      <c r="E129" s="59"/>
      <c r="F129" s="59"/>
      <c r="G129" s="60" t="s">
        <v>29</v>
      </c>
      <c r="H129" s="61"/>
      <c r="J129" s="1" t="str">
        <f>CONCATENATE(J127,"2")</f>
        <v>122</v>
      </c>
      <c r="M129" s="1" t="e">
        <v>#VALUE!</v>
      </c>
      <c r="N129" s="1" t="e">
        <v>#VALUE!</v>
      </c>
      <c r="O129" s="1" t="e">
        <v>#VALUE!</v>
      </c>
      <c r="P129" s="1" t="e">
        <v>#VALUE!</v>
      </c>
      <c r="S129" s="1">
        <f t="shared" si="85"/>
        <v>3</v>
      </c>
      <c r="T129" s="1">
        <v>212</v>
      </c>
    </row>
    <row r="130" spans="1:20" x14ac:dyDescent="0.3">
      <c r="A130" s="1">
        <f t="shared" si="84"/>
        <v>3213</v>
      </c>
      <c r="B130" s="54" t="s">
        <v>18</v>
      </c>
      <c r="C130" s="54"/>
      <c r="D130" s="54"/>
      <c r="E130" s="54" t="str">
        <f>IF(D123="","",D123)</f>
        <v>E0652/25</v>
      </c>
      <c r="F130" s="54"/>
      <c r="G130" s="5" t="s">
        <v>18</v>
      </c>
      <c r="H130" s="20" t="s">
        <v>117</v>
      </c>
      <c r="J130" s="1" t="str">
        <f>CONCATENATE(J127,"3")</f>
        <v>123</v>
      </c>
      <c r="M130" s="1" t="e">
        <v>#VALUE!</v>
      </c>
      <c r="N130" s="1" t="e">
        <v>#VALUE!</v>
      </c>
      <c r="O130" s="1" t="e">
        <v>#VALUE!</v>
      </c>
      <c r="P130" s="1" t="e">
        <v>#VALUE!</v>
      </c>
      <c r="S130" s="1">
        <f t="shared" si="85"/>
        <v>3</v>
      </c>
      <c r="T130" s="1">
        <v>213</v>
      </c>
    </row>
    <row r="131" spans="1:20" ht="15" customHeight="1" x14ac:dyDescent="0.3">
      <c r="A131" s="1">
        <f t="shared" si="84"/>
        <v>3214</v>
      </c>
      <c r="B131" s="6" t="s">
        <v>19</v>
      </c>
      <c r="C131" s="6" t="s">
        <v>20</v>
      </c>
      <c r="D131" s="6" t="s">
        <v>21</v>
      </c>
      <c r="E131" s="6"/>
      <c r="F131" s="55" t="s">
        <v>31</v>
      </c>
      <c r="G131" s="6" t="s">
        <v>19</v>
      </c>
      <c r="H131" s="6" t="s">
        <v>20</v>
      </c>
      <c r="J131" s="1">
        <f>J127-1</f>
        <v>11</v>
      </c>
      <c r="M131" s="1" t="s">
        <v>2</v>
      </c>
      <c r="N131" s="1" t="s">
        <v>3</v>
      </c>
      <c r="O131" s="1" t="s">
        <v>4</v>
      </c>
      <c r="P131" s="1" t="s">
        <v>5</v>
      </c>
      <c r="S131" s="1">
        <f t="shared" si="85"/>
        <v>3</v>
      </c>
      <c r="T131" s="1">
        <v>214</v>
      </c>
    </row>
    <row r="132" spans="1:20" x14ac:dyDescent="0.3">
      <c r="A132" s="1">
        <f t="shared" si="84"/>
        <v>3215</v>
      </c>
      <c r="B132" s="6" t="s">
        <v>22</v>
      </c>
      <c r="C132" s="6" t="s">
        <v>23</v>
      </c>
      <c r="D132" s="6" t="s">
        <v>24</v>
      </c>
      <c r="E132" s="6" t="s">
        <v>30</v>
      </c>
      <c r="F132" s="55"/>
      <c r="G132" s="6" t="s">
        <v>22</v>
      </c>
      <c r="H132" s="6" t="s">
        <v>23</v>
      </c>
      <c r="J132" s="1" t="str">
        <f>CONCATENATE(J131,"1")</f>
        <v>111</v>
      </c>
      <c r="M132" s="1" t="e">
        <f t="array" ref="M132:P134">LINEST($B134:$B146,$C134:$C146^{1,2,3},TRUE,TRUE)</f>
        <v>#VALUE!</v>
      </c>
      <c r="N132" s="1" t="e">
        <v>#VALUE!</v>
      </c>
      <c r="O132" s="1" t="e">
        <v>#VALUE!</v>
      </c>
      <c r="P132" s="1" t="e">
        <v>#VALUE!</v>
      </c>
      <c r="S132" s="1">
        <f t="shared" si="85"/>
        <v>3</v>
      </c>
      <c r="T132" s="1">
        <v>215</v>
      </c>
    </row>
    <row r="133" spans="1:20" x14ac:dyDescent="0.3">
      <c r="A133" s="1">
        <f t="shared" si="84"/>
        <v>3216</v>
      </c>
      <c r="B133" s="7" t="str">
        <f>IF(H126="","",H126)</f>
        <v>hPa</v>
      </c>
      <c r="C133" s="7" t="str">
        <f>IF(H126="","",H126)</f>
        <v>hPa</v>
      </c>
      <c r="D133" s="7" t="str">
        <f>IF(H126="","",H126)</f>
        <v>hPa</v>
      </c>
      <c r="E133" s="7"/>
      <c r="F133" s="7" t="str">
        <f>IF(I126="","",I126)</f>
        <v/>
      </c>
      <c r="G133" s="7" t="str">
        <f>IF(H126="","",H126)</f>
        <v>hPa</v>
      </c>
      <c r="H133" s="7" t="str">
        <f>IF(H126="","",H126)</f>
        <v>hPa</v>
      </c>
      <c r="J133" s="1" t="str">
        <f>CONCATENATE(J131,"2")</f>
        <v>112</v>
      </c>
      <c r="M133" s="1" t="e">
        <v>#VALUE!</v>
      </c>
      <c r="N133" s="1" t="e">
        <v>#VALUE!</v>
      </c>
      <c r="O133" s="1" t="e">
        <v>#VALUE!</v>
      </c>
      <c r="P133" s="1" t="e">
        <v>#VALUE!</v>
      </c>
      <c r="S133" s="1">
        <f t="shared" si="85"/>
        <v>3</v>
      </c>
      <c r="T133" s="1">
        <v>216</v>
      </c>
    </row>
    <row r="134" spans="1:20" x14ac:dyDescent="0.3">
      <c r="A134" s="1">
        <f t="shared" si="84"/>
        <v>3217</v>
      </c>
      <c r="B134" s="24">
        <v>799.9</v>
      </c>
      <c r="C134" s="24">
        <v>798.1</v>
      </c>
      <c r="D134" s="21">
        <v>0.3</v>
      </c>
      <c r="E134" s="24">
        <v>2</v>
      </c>
      <c r="F134" s="24">
        <v>1000000</v>
      </c>
      <c r="G134" s="25">
        <v>799.9</v>
      </c>
      <c r="H134" s="25">
        <v>798.1</v>
      </c>
      <c r="J134" s="1" t="str">
        <f>CONCATENATE(J131,"3")</f>
        <v>113</v>
      </c>
      <c r="M134" s="1" t="e">
        <v>#VALUE!</v>
      </c>
      <c r="N134" s="1" t="e">
        <v>#VALUE!</v>
      </c>
      <c r="O134" s="1" t="e">
        <v>#VALUE!</v>
      </c>
      <c r="P134" s="1" t="e">
        <v>#VALUE!</v>
      </c>
      <c r="S134" s="1">
        <f t="shared" si="85"/>
        <v>3</v>
      </c>
      <c r="T134" s="1">
        <v>217</v>
      </c>
    </row>
    <row r="135" spans="1:20" x14ac:dyDescent="0.3">
      <c r="A135" s="1">
        <f t="shared" si="84"/>
        <v>3218</v>
      </c>
      <c r="B135" s="24">
        <v>849.9</v>
      </c>
      <c r="C135" s="24">
        <v>848.5</v>
      </c>
      <c r="D135" s="21">
        <v>0.3</v>
      </c>
      <c r="E135" s="24">
        <v>2</v>
      </c>
      <c r="F135" s="24">
        <v>1000000</v>
      </c>
      <c r="G135" s="25">
        <v>849.9</v>
      </c>
      <c r="H135" s="25">
        <v>848.8</v>
      </c>
      <c r="J135" s="1">
        <f t="shared" ref="J135" si="86">J131-1</f>
        <v>10</v>
      </c>
      <c r="M135" s="1" t="s">
        <v>2</v>
      </c>
      <c r="N135" s="1" t="s">
        <v>3</v>
      </c>
      <c r="O135" s="1" t="s">
        <v>4</v>
      </c>
      <c r="P135" s="1" t="s">
        <v>5</v>
      </c>
      <c r="S135" s="1">
        <f t="shared" si="85"/>
        <v>3</v>
      </c>
      <c r="T135" s="1">
        <v>218</v>
      </c>
    </row>
    <row r="136" spans="1:20" x14ac:dyDescent="0.3">
      <c r="A136" s="1">
        <f t="shared" si="84"/>
        <v>3219</v>
      </c>
      <c r="B136" s="24">
        <v>899.9</v>
      </c>
      <c r="C136" s="24">
        <v>899.1</v>
      </c>
      <c r="D136" s="21">
        <v>0.3</v>
      </c>
      <c r="E136" s="24">
        <v>2</v>
      </c>
      <c r="F136" s="24">
        <v>1000000</v>
      </c>
      <c r="G136" s="25">
        <v>899.9</v>
      </c>
      <c r="H136" s="25">
        <v>899.3</v>
      </c>
      <c r="J136" s="1" t="str">
        <f t="shared" ref="J136" si="87">CONCATENATE(J135,"1")</f>
        <v>101</v>
      </c>
      <c r="M136" s="1" t="e">
        <f t="array" ref="M136:P138">LINEST($B134:$B145,$C134:$C145^{1,2,3},TRUE,TRUE)</f>
        <v>#VALUE!</v>
      </c>
      <c r="N136" s="1" t="e">
        <v>#VALUE!</v>
      </c>
      <c r="O136" s="1" t="e">
        <v>#VALUE!</v>
      </c>
      <c r="P136" s="1" t="e">
        <v>#VALUE!</v>
      </c>
      <c r="S136" s="1">
        <f t="shared" si="85"/>
        <v>3</v>
      </c>
      <c r="T136" s="1">
        <v>219</v>
      </c>
    </row>
    <row r="137" spans="1:20" x14ac:dyDescent="0.3">
      <c r="A137" s="1">
        <f t="shared" si="84"/>
        <v>3220</v>
      </c>
      <c r="B137" s="24">
        <v>929.9</v>
      </c>
      <c r="C137" s="24">
        <v>929.4</v>
      </c>
      <c r="D137" s="21">
        <v>0.3</v>
      </c>
      <c r="E137" s="24">
        <v>2</v>
      </c>
      <c r="F137" s="24">
        <v>1000000</v>
      </c>
      <c r="G137" s="25">
        <v>929.9</v>
      </c>
      <c r="H137" s="25">
        <v>929.5</v>
      </c>
      <c r="J137" s="1" t="str">
        <f t="shared" ref="J137" si="88">CONCATENATE(J135,"2")</f>
        <v>102</v>
      </c>
      <c r="M137" s="1" t="e">
        <v>#VALUE!</v>
      </c>
      <c r="N137" s="1" t="e">
        <v>#VALUE!</v>
      </c>
      <c r="O137" s="1" t="e">
        <v>#VALUE!</v>
      </c>
      <c r="P137" s="1" t="e">
        <v>#VALUE!</v>
      </c>
      <c r="S137" s="1">
        <f t="shared" si="85"/>
        <v>3</v>
      </c>
      <c r="T137" s="1">
        <v>220</v>
      </c>
    </row>
    <row r="138" spans="1:20" x14ac:dyDescent="0.3">
      <c r="A138" s="1">
        <f t="shared" si="84"/>
        <v>3221</v>
      </c>
      <c r="B138" s="24">
        <v>949.9</v>
      </c>
      <c r="C138" s="24">
        <v>949.5</v>
      </c>
      <c r="D138" s="21">
        <v>0.3</v>
      </c>
      <c r="E138" s="24">
        <v>2</v>
      </c>
      <c r="F138" s="24">
        <v>1000000</v>
      </c>
      <c r="G138" s="25">
        <v>949.9</v>
      </c>
      <c r="H138" s="25">
        <v>949.7</v>
      </c>
      <c r="J138" s="1" t="str">
        <f t="shared" ref="J138" si="89">CONCATENATE(J135,"3")</f>
        <v>103</v>
      </c>
      <c r="M138" s="1" t="e">
        <v>#VALUE!</v>
      </c>
      <c r="N138" s="1" t="e">
        <v>#VALUE!</v>
      </c>
      <c r="O138" s="1" t="e">
        <v>#VALUE!</v>
      </c>
      <c r="P138" s="1" t="e">
        <v>#VALUE!</v>
      </c>
      <c r="S138" s="1">
        <f t="shared" si="85"/>
        <v>3</v>
      </c>
      <c r="T138" s="1">
        <v>221</v>
      </c>
    </row>
    <row r="139" spans="1:20" x14ac:dyDescent="0.3">
      <c r="A139" s="1">
        <f t="shared" si="84"/>
        <v>3222</v>
      </c>
      <c r="B139" s="24">
        <v>999.9</v>
      </c>
      <c r="C139" s="24">
        <v>999.8</v>
      </c>
      <c r="D139" s="21">
        <v>0.3</v>
      </c>
      <c r="E139" s="24">
        <v>2</v>
      </c>
      <c r="F139" s="24">
        <v>1000000</v>
      </c>
      <c r="G139" s="25">
        <v>999.9</v>
      </c>
      <c r="H139" s="25">
        <v>999.9</v>
      </c>
      <c r="J139" s="1">
        <f t="shared" ref="J139" si="90">J135-1</f>
        <v>9</v>
      </c>
      <c r="M139" s="1" t="s">
        <v>2</v>
      </c>
      <c r="N139" s="1" t="s">
        <v>3</v>
      </c>
      <c r="O139" s="1" t="s">
        <v>4</v>
      </c>
      <c r="P139" s="1" t="s">
        <v>5</v>
      </c>
      <c r="S139" s="1">
        <f t="shared" si="85"/>
        <v>3</v>
      </c>
      <c r="T139" s="1">
        <v>222</v>
      </c>
    </row>
    <row r="140" spans="1:20" x14ac:dyDescent="0.3">
      <c r="A140" s="1">
        <f t="shared" si="84"/>
        <v>3223</v>
      </c>
      <c r="B140" s="24">
        <v>1050</v>
      </c>
      <c r="C140" s="24">
        <v>1049.8</v>
      </c>
      <c r="D140" s="21">
        <v>0.3</v>
      </c>
      <c r="E140" s="24">
        <v>2</v>
      </c>
      <c r="F140" s="24">
        <v>1000000</v>
      </c>
      <c r="G140" s="25">
        <v>1050</v>
      </c>
      <c r="H140" s="25">
        <v>1050</v>
      </c>
      <c r="J140" s="1" t="str">
        <f t="shared" ref="J140" si="91">CONCATENATE(J139,"1")</f>
        <v>91</v>
      </c>
      <c r="M140" s="1" t="e">
        <f t="array" ref="M140:P142">LINEST($B134:$B144,$C134:$C144^{1,2,3},TRUE,TRUE)</f>
        <v>#VALUE!</v>
      </c>
      <c r="N140" s="1" t="e">
        <v>#VALUE!</v>
      </c>
      <c r="O140" s="1" t="e">
        <v>#VALUE!</v>
      </c>
      <c r="P140" s="1" t="e">
        <v>#VALUE!</v>
      </c>
      <c r="S140" s="1">
        <f t="shared" si="85"/>
        <v>3</v>
      </c>
      <c r="T140" s="1">
        <v>223</v>
      </c>
    </row>
    <row r="141" spans="1:20" x14ac:dyDescent="0.3">
      <c r="A141" s="1">
        <f t="shared" si="84"/>
        <v>3224</v>
      </c>
      <c r="B141" s="24"/>
      <c r="C141" s="24"/>
      <c r="D141" s="21"/>
      <c r="E141" s="24"/>
      <c r="F141" s="24"/>
      <c r="G141" s="25"/>
      <c r="H141" s="25"/>
      <c r="J141" s="1" t="str">
        <f t="shared" ref="J141" si="92">CONCATENATE(J139,"2")</f>
        <v>92</v>
      </c>
      <c r="M141" s="1" t="e">
        <v>#VALUE!</v>
      </c>
      <c r="N141" s="1" t="e">
        <v>#VALUE!</v>
      </c>
      <c r="O141" s="1" t="e">
        <v>#VALUE!</v>
      </c>
      <c r="P141" s="1" t="e">
        <v>#VALUE!</v>
      </c>
      <c r="S141" s="1">
        <f t="shared" si="85"/>
        <v>3</v>
      </c>
      <c r="T141" s="1">
        <v>224</v>
      </c>
    </row>
    <row r="142" spans="1:20" x14ac:dyDescent="0.3">
      <c r="A142" s="1">
        <f t="shared" si="84"/>
        <v>3225</v>
      </c>
      <c r="B142" s="24"/>
      <c r="C142" s="24"/>
      <c r="D142" s="21"/>
      <c r="E142" s="24"/>
      <c r="F142" s="24"/>
      <c r="G142" s="25"/>
      <c r="H142" s="25"/>
      <c r="J142" s="1" t="str">
        <f t="shared" ref="J142" si="93">CONCATENATE(J139,"3")</f>
        <v>93</v>
      </c>
      <c r="M142" s="1" t="e">
        <v>#VALUE!</v>
      </c>
      <c r="N142" s="1" t="e">
        <v>#VALUE!</v>
      </c>
      <c r="O142" s="1" t="e">
        <v>#VALUE!</v>
      </c>
      <c r="P142" s="1" t="e">
        <v>#VALUE!</v>
      </c>
      <c r="S142" s="1">
        <f t="shared" si="85"/>
        <v>3</v>
      </c>
      <c r="T142" s="1">
        <v>225</v>
      </c>
    </row>
    <row r="143" spans="1:20" x14ac:dyDescent="0.3">
      <c r="A143" s="1">
        <f t="shared" si="84"/>
        <v>3226</v>
      </c>
      <c r="B143" s="24"/>
      <c r="C143" s="24"/>
      <c r="D143" s="24"/>
      <c r="E143" s="24"/>
      <c r="F143" s="24"/>
      <c r="G143" s="25"/>
      <c r="H143" s="25"/>
      <c r="J143" s="1">
        <f t="shared" ref="J143" si="94">J139-1</f>
        <v>8</v>
      </c>
      <c r="M143" s="1" t="s">
        <v>2</v>
      </c>
      <c r="N143" s="1" t="s">
        <v>3</v>
      </c>
      <c r="O143" s="1" t="s">
        <v>4</v>
      </c>
      <c r="P143" s="1" t="s">
        <v>5</v>
      </c>
      <c r="S143" s="1">
        <f t="shared" si="85"/>
        <v>3</v>
      </c>
      <c r="T143" s="1">
        <v>226</v>
      </c>
    </row>
    <row r="144" spans="1:20" x14ac:dyDescent="0.3">
      <c r="A144" s="1">
        <f t="shared" si="84"/>
        <v>3227</v>
      </c>
      <c r="B144" s="24"/>
      <c r="C144" s="24"/>
      <c r="D144" s="24"/>
      <c r="E144" s="24"/>
      <c r="F144" s="24"/>
      <c r="G144" s="25"/>
      <c r="H144" s="25"/>
      <c r="J144" s="1" t="str">
        <f t="shared" ref="J144" si="95">CONCATENATE(J143,"1")</f>
        <v>81</v>
      </c>
      <c r="M144" s="1" t="e">
        <f t="array" ref="M144:P146">LINEST($B134:$B143,$C134:$C143^{1,2,3},TRUE,TRUE)</f>
        <v>#VALUE!</v>
      </c>
      <c r="N144" s="1" t="e">
        <v>#VALUE!</v>
      </c>
      <c r="O144" s="1" t="e">
        <v>#VALUE!</v>
      </c>
      <c r="P144" s="1" t="e">
        <v>#VALUE!</v>
      </c>
      <c r="S144" s="1">
        <f t="shared" si="85"/>
        <v>3</v>
      </c>
      <c r="T144" s="1">
        <v>227</v>
      </c>
    </row>
    <row r="145" spans="1:20" x14ac:dyDescent="0.3">
      <c r="A145" s="1">
        <f t="shared" si="84"/>
        <v>3228</v>
      </c>
      <c r="B145" s="24"/>
      <c r="C145" s="24"/>
      <c r="D145" s="24"/>
      <c r="E145" s="24"/>
      <c r="F145" s="24"/>
      <c r="G145" s="25"/>
      <c r="H145" s="25"/>
      <c r="J145" s="1" t="str">
        <f t="shared" ref="J145" si="96">CONCATENATE(J143,"2")</f>
        <v>82</v>
      </c>
      <c r="M145" s="1" t="e">
        <v>#VALUE!</v>
      </c>
      <c r="N145" s="1" t="e">
        <v>#VALUE!</v>
      </c>
      <c r="O145" s="1" t="e">
        <v>#VALUE!</v>
      </c>
      <c r="P145" s="1" t="e">
        <v>#VALUE!</v>
      </c>
      <c r="S145" s="1">
        <f t="shared" si="85"/>
        <v>3</v>
      </c>
      <c r="T145" s="1">
        <v>228</v>
      </c>
    </row>
    <row r="146" spans="1:20" x14ac:dyDescent="0.3">
      <c r="A146" s="1">
        <f t="shared" si="84"/>
        <v>3229</v>
      </c>
      <c r="B146" s="24"/>
      <c r="C146" s="24"/>
      <c r="D146" s="24"/>
      <c r="E146" s="24"/>
      <c r="F146" s="24"/>
      <c r="G146" s="25"/>
      <c r="H146" s="25"/>
      <c r="J146" s="1" t="str">
        <f t="shared" ref="J146" si="97">CONCATENATE(J143,"3")</f>
        <v>83</v>
      </c>
      <c r="M146" s="1" t="e">
        <v>#VALUE!</v>
      </c>
      <c r="N146" s="1" t="e">
        <v>#VALUE!</v>
      </c>
      <c r="O146" s="1" t="e">
        <v>#VALUE!</v>
      </c>
      <c r="P146" s="1" t="e">
        <v>#VALUE!</v>
      </c>
      <c r="S146" s="1">
        <f t="shared" si="85"/>
        <v>3</v>
      </c>
      <c r="T146" s="1">
        <v>229</v>
      </c>
    </row>
    <row r="147" spans="1:20" x14ac:dyDescent="0.3">
      <c r="A147" s="1">
        <f t="shared" si="84"/>
        <v>3230</v>
      </c>
      <c r="B147" s="24"/>
      <c r="C147" s="24"/>
      <c r="D147" s="24"/>
      <c r="E147" s="24"/>
      <c r="F147" s="24"/>
      <c r="G147" s="25"/>
      <c r="H147" s="25"/>
      <c r="J147" s="1">
        <f t="shared" ref="J147" si="98">J143-1</f>
        <v>7</v>
      </c>
      <c r="M147" s="1" t="s">
        <v>2</v>
      </c>
      <c r="N147" s="1" t="s">
        <v>3</v>
      </c>
      <c r="O147" s="1" t="s">
        <v>4</v>
      </c>
      <c r="P147" s="1" t="s">
        <v>5</v>
      </c>
      <c r="S147" s="1">
        <f t="shared" si="85"/>
        <v>3</v>
      </c>
      <c r="T147" s="1">
        <v>230</v>
      </c>
    </row>
    <row r="148" spans="1:20" x14ac:dyDescent="0.3">
      <c r="A148" s="1">
        <f t="shared" si="84"/>
        <v>3231</v>
      </c>
      <c r="B148" s="24"/>
      <c r="C148" s="24"/>
      <c r="D148" s="24"/>
      <c r="E148" s="24"/>
      <c r="F148" s="24"/>
      <c r="G148" s="25"/>
      <c r="H148" s="25"/>
      <c r="J148" s="1" t="str">
        <f t="shared" ref="J148" si="99">CONCATENATE(J147,"1")</f>
        <v>71</v>
      </c>
      <c r="M148" s="1" t="e">
        <f t="array" ref="M148:P150">LINEST($B134:$B142,$C134:$C142^{1,2,3},TRUE,TRUE)</f>
        <v>#VALUE!</v>
      </c>
      <c r="N148" s="1" t="e">
        <v>#VALUE!</v>
      </c>
      <c r="O148" s="1" t="e">
        <v>#VALUE!</v>
      </c>
      <c r="P148" s="1" t="e">
        <v>#VALUE!</v>
      </c>
      <c r="S148" s="1">
        <f t="shared" si="85"/>
        <v>3</v>
      </c>
      <c r="T148" s="1">
        <v>231</v>
      </c>
    </row>
    <row r="149" spans="1:20" x14ac:dyDescent="0.3">
      <c r="A149" s="1">
        <f t="shared" si="84"/>
        <v>3232</v>
      </c>
      <c r="B149" s="2">
        <f>COUNT(B134:B148)-2</f>
        <v>5</v>
      </c>
      <c r="J149" s="1" t="str">
        <f t="shared" ref="J149" si="100">CONCATENATE(J147,"2")</f>
        <v>72</v>
      </c>
      <c r="M149" s="1" t="e">
        <v>#VALUE!</v>
      </c>
      <c r="N149" s="1" t="e">
        <v>#VALUE!</v>
      </c>
      <c r="O149" s="1" t="e">
        <v>#VALUE!</v>
      </c>
      <c r="P149" s="1" t="e">
        <v>#VALUE!</v>
      </c>
      <c r="S149" s="1">
        <f t="shared" si="85"/>
        <v>3</v>
      </c>
      <c r="T149" s="1">
        <v>232</v>
      </c>
    </row>
    <row r="150" spans="1:20" x14ac:dyDescent="0.3">
      <c r="A150" s="1">
        <f t="shared" si="84"/>
        <v>3233</v>
      </c>
      <c r="J150" s="1" t="str">
        <f t="shared" ref="J150" si="101">CONCATENATE(J147,"3")</f>
        <v>73</v>
      </c>
      <c r="M150" s="1" t="e">
        <v>#VALUE!</v>
      </c>
      <c r="N150" s="1" t="e">
        <v>#VALUE!</v>
      </c>
      <c r="O150" s="1" t="e">
        <v>#VALUE!</v>
      </c>
      <c r="P150" s="1" t="e">
        <v>#VALUE!</v>
      </c>
      <c r="S150" s="1">
        <f t="shared" si="85"/>
        <v>3</v>
      </c>
      <c r="T150" s="1">
        <v>233</v>
      </c>
    </row>
    <row r="151" spans="1:20" x14ac:dyDescent="0.3">
      <c r="A151" s="1">
        <f t="shared" si="84"/>
        <v>3234</v>
      </c>
      <c r="B151" s="54" t="s">
        <v>25</v>
      </c>
      <c r="C151" s="54"/>
      <c r="D151" s="54"/>
      <c r="E151" s="54"/>
      <c r="F151" s="54"/>
      <c r="G151" s="54"/>
      <c r="H151" s="54"/>
      <c r="J151" s="1">
        <f t="shared" ref="J151" si="102">J147-1</f>
        <v>6</v>
      </c>
      <c r="M151" s="1" t="s">
        <v>2</v>
      </c>
      <c r="N151" s="1" t="s">
        <v>3</v>
      </c>
      <c r="O151" s="1" t="s">
        <v>4</v>
      </c>
      <c r="P151" s="1" t="s">
        <v>5</v>
      </c>
      <c r="S151" s="1">
        <f t="shared" si="85"/>
        <v>3</v>
      </c>
      <c r="T151" s="1">
        <v>234</v>
      </c>
    </row>
    <row r="152" spans="1:20" x14ac:dyDescent="0.3">
      <c r="A152" s="1">
        <f t="shared" si="84"/>
        <v>3235</v>
      </c>
      <c r="B152" s="56"/>
      <c r="C152" s="56"/>
      <c r="D152" s="56"/>
      <c r="E152" s="56"/>
      <c r="F152" s="56"/>
      <c r="G152" s="56"/>
      <c r="H152" s="56"/>
      <c r="J152" s="1" t="str">
        <f t="shared" ref="J152" si="103">CONCATENATE(J151,"1")</f>
        <v>61</v>
      </c>
      <c r="M152" s="1" t="e">
        <f t="array" ref="M152:P154">LINEST($B134:$B141,$C134:$C141^{1,2,3},TRUE,TRUE)</f>
        <v>#VALUE!</v>
      </c>
      <c r="N152" s="1" t="e">
        <v>#VALUE!</v>
      </c>
      <c r="O152" s="1" t="e">
        <v>#VALUE!</v>
      </c>
      <c r="P152" s="1" t="e">
        <v>#VALUE!</v>
      </c>
      <c r="S152" s="1">
        <f t="shared" si="85"/>
        <v>3</v>
      </c>
      <c r="T152" s="1">
        <v>235</v>
      </c>
    </row>
    <row r="153" spans="1:20" x14ac:dyDescent="0.3">
      <c r="A153" s="1">
        <f t="shared" si="84"/>
        <v>3236</v>
      </c>
      <c r="B153" s="56"/>
      <c r="C153" s="56"/>
      <c r="D153" s="56"/>
      <c r="E153" s="56"/>
      <c r="F153" s="56"/>
      <c r="G153" s="56"/>
      <c r="H153" s="56"/>
      <c r="J153" s="1" t="str">
        <f t="shared" ref="J153" si="104">CONCATENATE(J151,"2")</f>
        <v>62</v>
      </c>
      <c r="M153" s="1" t="e">
        <v>#VALUE!</v>
      </c>
      <c r="N153" s="1" t="e">
        <v>#VALUE!</v>
      </c>
      <c r="O153" s="1" t="e">
        <v>#VALUE!</v>
      </c>
      <c r="P153" s="1" t="e">
        <v>#VALUE!</v>
      </c>
      <c r="S153" s="1">
        <f t="shared" si="85"/>
        <v>3</v>
      </c>
      <c r="T153" s="1">
        <v>236</v>
      </c>
    </row>
    <row r="154" spans="1:20" x14ac:dyDescent="0.3">
      <c r="A154" s="1">
        <f t="shared" si="84"/>
        <v>3237</v>
      </c>
      <c r="J154" s="1" t="str">
        <f t="shared" ref="J154" si="105">CONCATENATE(J151,"3")</f>
        <v>63</v>
      </c>
      <c r="M154" s="1" t="e">
        <v>#VALUE!</v>
      </c>
      <c r="N154" s="1" t="e">
        <v>#VALUE!</v>
      </c>
      <c r="O154" s="1" t="e">
        <v>#VALUE!</v>
      </c>
      <c r="P154" s="1" t="e">
        <v>#VALUE!</v>
      </c>
      <c r="S154" s="1">
        <f t="shared" si="85"/>
        <v>3</v>
      </c>
      <c r="T154" s="1">
        <v>237</v>
      </c>
    </row>
    <row r="155" spans="1:20" ht="15" customHeight="1" x14ac:dyDescent="0.3">
      <c r="A155" s="1">
        <f t="shared" si="84"/>
        <v>3238</v>
      </c>
      <c r="J155" s="1">
        <f t="shared" ref="J155" si="106">J151-1</f>
        <v>5</v>
      </c>
      <c r="M155" s="1" t="s">
        <v>2</v>
      </c>
      <c r="N155" s="1" t="s">
        <v>3</v>
      </c>
      <c r="O155" s="1" t="s">
        <v>4</v>
      </c>
      <c r="P155" s="1" t="s">
        <v>5</v>
      </c>
      <c r="S155" s="1">
        <f t="shared" si="85"/>
        <v>3</v>
      </c>
      <c r="T155" s="1">
        <v>238</v>
      </c>
    </row>
    <row r="156" spans="1:20" x14ac:dyDescent="0.3">
      <c r="A156" s="1">
        <f t="shared" si="84"/>
        <v>3239</v>
      </c>
      <c r="J156" s="1" t="str">
        <f t="shared" ref="J156" si="107">CONCATENATE(J155,"1")</f>
        <v>51</v>
      </c>
      <c r="M156" s="1">
        <f t="array" ref="M156:P158">LINEST($B134:$B140,$C134:$C140^{1,2,3},TRUE,TRUE)</f>
        <v>1.9799577877805459E-7</v>
      </c>
      <c r="N156" s="1">
        <v>-5.2199501064470032E-4</v>
      </c>
      <c r="O156" s="1">
        <v>1.447998793731057</v>
      </c>
      <c r="P156" s="1">
        <v>-123.89991714488653</v>
      </c>
      <c r="S156" s="1">
        <f t="shared" si="85"/>
        <v>3</v>
      </c>
      <c r="T156" s="1">
        <v>239</v>
      </c>
    </row>
    <row r="157" spans="1:20" x14ac:dyDescent="0.3">
      <c r="A157" s="1">
        <f t="shared" si="84"/>
        <v>3240</v>
      </c>
      <c r="E157" s="26"/>
      <c r="F157" s="26"/>
      <c r="G157" s="26"/>
      <c r="H157" s="26"/>
      <c r="J157" s="1" t="str">
        <f t="shared" ref="J157" si="108">CONCATENATE(J155,"2")</f>
        <v>52</v>
      </c>
      <c r="M157" s="1">
        <v>3.8759918974912057E-8</v>
      </c>
      <c r="N157" s="1">
        <v>1.075219015078831E-4</v>
      </c>
      <c r="O157" s="1">
        <v>9.8976080981818912E-2</v>
      </c>
      <c r="P157" s="1">
        <v>30.230602513576905</v>
      </c>
      <c r="S157" s="1">
        <f t="shared" si="85"/>
        <v>3</v>
      </c>
      <c r="T157" s="1">
        <v>240</v>
      </c>
    </row>
    <row r="158" spans="1:20" x14ac:dyDescent="0.3">
      <c r="A158" s="1">
        <f t="shared" si="84"/>
        <v>3241</v>
      </c>
      <c r="B158" s="54" t="s">
        <v>90</v>
      </c>
      <c r="C158" s="54"/>
      <c r="D158" s="54"/>
      <c r="E158" s="27">
        <f>IF(D120="","",MAX(E159,E160))</f>
        <v>0.29999999999995453</v>
      </c>
      <c r="F158" s="26"/>
      <c r="G158" s="26"/>
      <c r="H158" s="26"/>
      <c r="J158" s="1" t="str">
        <f t="shared" ref="J158" si="109">CONCATENATE(J155,"3")</f>
        <v>53</v>
      </c>
      <c r="M158" s="1">
        <v>0.99999989122917754</v>
      </c>
      <c r="N158" s="1">
        <v>3.9848709513484896E-2</v>
      </c>
      <c r="O158" s="1" t="e">
        <v>#N/A</v>
      </c>
      <c r="P158" s="1" t="e">
        <v>#N/A</v>
      </c>
      <c r="S158" s="1">
        <f t="shared" si="85"/>
        <v>3</v>
      </c>
      <c r="T158" s="1">
        <v>241</v>
      </c>
    </row>
    <row r="159" spans="1:20" x14ac:dyDescent="0.3">
      <c r="A159" s="1">
        <f t="shared" si="84"/>
        <v>3242</v>
      </c>
      <c r="B159" s="2" t="s">
        <v>26</v>
      </c>
      <c r="C159" s="2" t="s">
        <v>27</v>
      </c>
      <c r="D159" s="2" t="s">
        <v>28</v>
      </c>
      <c r="E159" s="28">
        <f>ABS(MIN(D160:D174))</f>
        <v>0</v>
      </c>
      <c r="F159" s="26"/>
      <c r="H159" s="26"/>
      <c r="J159" s="1">
        <f t="shared" ref="J159" si="110">J155-1</f>
        <v>4</v>
      </c>
      <c r="M159" s="1" t="s">
        <v>2</v>
      </c>
      <c r="N159" s="1" t="s">
        <v>3</v>
      </c>
      <c r="O159" s="1" t="s">
        <v>4</v>
      </c>
      <c r="P159" s="1" t="s">
        <v>5</v>
      </c>
      <c r="S159" s="1">
        <f t="shared" si="85"/>
        <v>3</v>
      </c>
      <c r="T159" s="1">
        <v>242</v>
      </c>
    </row>
    <row r="160" spans="1:20" x14ac:dyDescent="0.3">
      <c r="A160" s="1">
        <f t="shared" si="84"/>
        <v>3243</v>
      </c>
      <c r="B160" s="2">
        <f>C134-B134</f>
        <v>-1.7999999999999545</v>
      </c>
      <c r="C160" s="2">
        <f t="shared" ref="C160:C174" si="111">H134-G134</f>
        <v>-1.7999999999999545</v>
      </c>
      <c r="D160" s="2">
        <f>C160-B160</f>
        <v>0</v>
      </c>
      <c r="E160" s="28">
        <f>ABS(MAX(D160:D174))</f>
        <v>0.29999999999995453</v>
      </c>
      <c r="F160" s="26"/>
      <c r="H160" s="26"/>
      <c r="J160" s="1" t="str">
        <f t="shared" ref="J160" si="112">CONCATENATE(J159,"1")</f>
        <v>41</v>
      </c>
      <c r="M160" s="1">
        <f t="array" ref="M160:P162">LINEST($B134:$B139,$C134:$C139^{1,2,3},TRUE,TRUE)</f>
        <v>2.1928061443047344E-7</v>
      </c>
      <c r="N160" s="1">
        <v>-5.7904189130162926E-4</v>
      </c>
      <c r="O160" s="1">
        <v>1.4987999788912931</v>
      </c>
      <c r="P160" s="1">
        <v>-138.93018584804159</v>
      </c>
      <c r="S160" s="1">
        <f t="shared" si="85"/>
        <v>3</v>
      </c>
      <c r="T160" s="1">
        <v>243</v>
      </c>
    </row>
    <row r="161" spans="1:20" x14ac:dyDescent="0.3">
      <c r="A161" s="1">
        <f t="shared" si="84"/>
        <v>3244</v>
      </c>
      <c r="B161" s="2">
        <f t="shared" ref="B161:B174" si="113">C135-B135</f>
        <v>-1.3999999999999773</v>
      </c>
      <c r="C161" s="2">
        <f t="shared" si="111"/>
        <v>-1.1000000000000227</v>
      </c>
      <c r="D161" s="2">
        <f t="shared" ref="D161:D174" si="114">C161-B161</f>
        <v>0.29999999999995453</v>
      </c>
      <c r="E161" s="29" t="s">
        <v>32</v>
      </c>
      <c r="F161" s="26"/>
      <c r="H161" s="26"/>
      <c r="J161" s="1" t="str">
        <f t="shared" ref="J161" si="115">CONCATENATE(J159,"2")</f>
        <v>42</v>
      </c>
      <c r="M161" s="1">
        <v>9.1349420013292933E-8</v>
      </c>
      <c r="N161" s="1">
        <v>2.4709422837774299E-4</v>
      </c>
      <c r="O161" s="1">
        <v>0.2220972361814654</v>
      </c>
      <c r="P161" s="1">
        <v>66.328346797670022</v>
      </c>
      <c r="S161" s="1">
        <f t="shared" si="85"/>
        <v>3</v>
      </c>
      <c r="T161" s="1">
        <v>244</v>
      </c>
    </row>
    <row r="162" spans="1:20" x14ac:dyDescent="0.3">
      <c r="A162" s="1">
        <f t="shared" si="84"/>
        <v>3245</v>
      </c>
      <c r="B162" s="2">
        <f t="shared" si="113"/>
        <v>-0.79999999999995453</v>
      </c>
      <c r="C162" s="2">
        <f t="shared" si="111"/>
        <v>-0.60000000000002274</v>
      </c>
      <c r="D162" s="2">
        <f t="shared" si="114"/>
        <v>0.19999999999993179</v>
      </c>
      <c r="E162" s="27">
        <f>IF(D120="","",MAX(E163,E164))</f>
        <v>1.7999999999999545</v>
      </c>
      <c r="F162" s="26"/>
      <c r="H162" s="26"/>
      <c r="J162" s="1" t="str">
        <f t="shared" ref="J162" si="116">CONCATENATE(J159,"3")</f>
        <v>43</v>
      </c>
      <c r="M162" s="1">
        <v>0.9999998215500947</v>
      </c>
      <c r="N162" s="1">
        <v>4.7932687494947168E-2</v>
      </c>
      <c r="O162" s="1" t="e">
        <v>#N/A</v>
      </c>
      <c r="P162" s="1" t="e">
        <v>#N/A</v>
      </c>
      <c r="S162" s="1">
        <f t="shared" si="85"/>
        <v>3</v>
      </c>
      <c r="T162" s="1">
        <v>245</v>
      </c>
    </row>
    <row r="163" spans="1:20" x14ac:dyDescent="0.3">
      <c r="A163" s="1">
        <f t="shared" si="84"/>
        <v>3246</v>
      </c>
      <c r="B163" s="2">
        <f t="shared" si="113"/>
        <v>-0.5</v>
      </c>
      <c r="C163" s="2">
        <f t="shared" si="111"/>
        <v>-0.39999999999997726</v>
      </c>
      <c r="D163" s="2">
        <f t="shared" si="114"/>
        <v>0.10000000000002274</v>
      </c>
      <c r="E163" s="28">
        <f>ABS(MIN(B160:B174))</f>
        <v>1.7999999999999545</v>
      </c>
      <c r="F163" s="26"/>
      <c r="H163" s="26"/>
      <c r="J163" s="1">
        <f t="shared" ref="J163" si="117">J159-1</f>
        <v>3</v>
      </c>
      <c r="M163" s="1" t="s">
        <v>2</v>
      </c>
      <c r="N163" s="1" t="s">
        <v>3</v>
      </c>
      <c r="O163" s="1" t="s">
        <v>4</v>
      </c>
      <c r="P163" s="1" t="s">
        <v>5</v>
      </c>
      <c r="S163" s="1">
        <f t="shared" si="85"/>
        <v>3</v>
      </c>
      <c r="T163" s="1">
        <v>246</v>
      </c>
    </row>
    <row r="164" spans="1:20" x14ac:dyDescent="0.3">
      <c r="A164" s="1">
        <f t="shared" si="84"/>
        <v>3247</v>
      </c>
      <c r="B164" s="2">
        <f t="shared" si="113"/>
        <v>-0.39999999999997726</v>
      </c>
      <c r="C164" s="2">
        <f t="shared" si="111"/>
        <v>-0.19999999999993179</v>
      </c>
      <c r="D164" s="2">
        <f t="shared" si="114"/>
        <v>0.20000000000004547</v>
      </c>
      <c r="E164" s="28">
        <f>ABS(MAX(B160:B174))</f>
        <v>0</v>
      </c>
      <c r="F164" s="26"/>
      <c r="H164" s="26"/>
      <c r="J164" s="1" t="str">
        <f t="shared" ref="J164" si="118">CONCATENATE(J163,"1")</f>
        <v>31</v>
      </c>
      <c r="M164" s="1">
        <f t="array" ref="M164:P166">LINEST($B134:$B138,$C134:$C138^{1,2,3},TRUE,TRUE)</f>
        <v>5.3430275750823497E-7</v>
      </c>
      <c r="N164" s="1">
        <v>-1.4006016455685322E-3</v>
      </c>
      <c r="O164" s="1">
        <v>2.2115071112743192</v>
      </c>
      <c r="P164" s="1">
        <v>-344.59039181879098</v>
      </c>
      <c r="S164" s="1">
        <f t="shared" si="85"/>
        <v>3</v>
      </c>
      <c r="T164" s="1">
        <v>247</v>
      </c>
    </row>
    <row r="165" spans="1:20" x14ac:dyDescent="0.3">
      <c r="A165" s="1">
        <f t="shared" si="84"/>
        <v>3248</v>
      </c>
      <c r="B165" s="2">
        <f t="shared" si="113"/>
        <v>-0.10000000000002274</v>
      </c>
      <c r="C165" s="2">
        <f t="shared" si="111"/>
        <v>0</v>
      </c>
      <c r="D165" s="2">
        <f t="shared" si="114"/>
        <v>0.10000000000002274</v>
      </c>
      <c r="E165" s="29" t="s">
        <v>33</v>
      </c>
      <c r="F165" s="26"/>
      <c r="J165" s="1" t="str">
        <f t="shared" ref="J165" si="119">CONCATENATE(J163,"2")</f>
        <v>32</v>
      </c>
      <c r="M165" s="1">
        <v>3.8251872996053832E-8</v>
      </c>
      <c r="N165" s="1">
        <v>1.0029548372480967E-4</v>
      </c>
      <c r="O165" s="1">
        <v>8.7490396004592408E-2</v>
      </c>
      <c r="P165" s="1">
        <v>25.390448295371382</v>
      </c>
      <c r="S165" s="1">
        <f t="shared" si="85"/>
        <v>3</v>
      </c>
      <c r="T165" s="1">
        <v>248</v>
      </c>
    </row>
    <row r="166" spans="1:20" x14ac:dyDescent="0.3">
      <c r="A166" s="1">
        <f t="shared" si="84"/>
        <v>3249</v>
      </c>
      <c r="B166" s="2">
        <f t="shared" si="113"/>
        <v>-0.20000000000004547</v>
      </c>
      <c r="C166" s="2">
        <f t="shared" si="111"/>
        <v>0</v>
      </c>
      <c r="D166" s="2">
        <f t="shared" si="114"/>
        <v>0.20000000000004547</v>
      </c>
      <c r="E166" s="27">
        <f>IF(D120="","",MAX(E167,E168))</f>
        <v>0.3</v>
      </c>
      <c r="F166" s="26"/>
      <c r="J166" s="1" t="str">
        <f t="shared" ref="J166" si="120">CONCATENATE(J163,"3")</f>
        <v>33</v>
      </c>
      <c r="M166" s="1">
        <v>0.99999999615439394</v>
      </c>
      <c r="N166" s="1">
        <v>7.5747239675411637E-3</v>
      </c>
      <c r="O166" s="1" t="e">
        <v>#N/A</v>
      </c>
      <c r="P166" s="1" t="e">
        <v>#N/A</v>
      </c>
      <c r="S166" s="1">
        <f t="shared" si="85"/>
        <v>3</v>
      </c>
      <c r="T166" s="1">
        <v>249</v>
      </c>
    </row>
    <row r="167" spans="1:20" x14ac:dyDescent="0.3">
      <c r="A167" s="1">
        <f t="shared" si="84"/>
        <v>3250</v>
      </c>
      <c r="B167" s="2">
        <f t="shared" si="113"/>
        <v>0</v>
      </c>
      <c r="C167" s="2">
        <f t="shared" si="111"/>
        <v>0</v>
      </c>
      <c r="D167" s="2">
        <f t="shared" si="114"/>
        <v>0</v>
      </c>
      <c r="E167" s="28">
        <f>ABS(MIN(D134:D148))</f>
        <v>0.3</v>
      </c>
      <c r="F167" s="26"/>
      <c r="J167" s="1">
        <f t="shared" ref="J167" si="121">J163-1</f>
        <v>2</v>
      </c>
      <c r="N167" s="1" t="s">
        <v>3</v>
      </c>
      <c r="O167" s="1" t="s">
        <v>4</v>
      </c>
      <c r="P167" s="1" t="s">
        <v>5</v>
      </c>
      <c r="S167" s="1">
        <f t="shared" si="85"/>
        <v>3</v>
      </c>
      <c r="T167" s="1">
        <v>250</v>
      </c>
    </row>
    <row r="168" spans="1:20" x14ac:dyDescent="0.3">
      <c r="A168" s="1">
        <f t="shared" si="84"/>
        <v>3251</v>
      </c>
      <c r="B168" s="2">
        <f t="shared" si="113"/>
        <v>0</v>
      </c>
      <c r="C168" s="2">
        <f t="shared" si="111"/>
        <v>0</v>
      </c>
      <c r="D168" s="2">
        <f t="shared" si="114"/>
        <v>0</v>
      </c>
      <c r="E168" s="28">
        <f>ABS(MAX(D134:D148))</f>
        <v>0.3</v>
      </c>
      <c r="F168" s="26"/>
      <c r="J168" s="1" t="str">
        <f t="shared" ref="J168" si="122">CONCATENATE(J167,"1")</f>
        <v>21</v>
      </c>
      <c r="N168" s="1">
        <f t="array" ref="N168:P170">LINEST($B134:$B137,$C134:$C137^{1,2},TRUE,TRUE)</f>
        <v>-1.729594965377212E-5</v>
      </c>
      <c r="O168" s="1">
        <v>1.0197595131202128</v>
      </c>
      <c r="P168" s="1">
        <v>-2.9438627629938861</v>
      </c>
      <c r="S168" s="1">
        <f t="shared" si="85"/>
        <v>3</v>
      </c>
      <c r="T168" s="1">
        <v>251</v>
      </c>
    </row>
    <row r="169" spans="1:20" x14ac:dyDescent="0.3">
      <c r="A169" s="1">
        <f t="shared" si="84"/>
        <v>3252</v>
      </c>
      <c r="B169" s="2">
        <f t="shared" si="113"/>
        <v>0</v>
      </c>
      <c r="C169" s="2">
        <f t="shared" si="111"/>
        <v>0</v>
      </c>
      <c r="D169" s="2">
        <f t="shared" si="114"/>
        <v>0</v>
      </c>
      <c r="E169" s="26"/>
      <c r="F169" s="26"/>
      <c r="J169" s="1" t="str">
        <f t="shared" ref="J169" si="123">CONCATENATE(J167,"2")</f>
        <v>22</v>
      </c>
      <c r="N169" s="1">
        <v>1.5019409563034267E-5</v>
      </c>
      <c r="O169" s="1">
        <v>2.5936568517628579E-2</v>
      </c>
      <c r="P169" s="1">
        <v>11.164422137565948</v>
      </c>
      <c r="S169" s="1">
        <f t="shared" si="85"/>
        <v>3</v>
      </c>
      <c r="T169" s="1">
        <v>252</v>
      </c>
    </row>
    <row r="170" spans="1:20" x14ac:dyDescent="0.3">
      <c r="A170" s="1">
        <f t="shared" si="84"/>
        <v>3253</v>
      </c>
      <c r="B170" s="2">
        <f t="shared" si="113"/>
        <v>0</v>
      </c>
      <c r="C170" s="2">
        <f t="shared" si="111"/>
        <v>0</v>
      </c>
      <c r="D170" s="2">
        <f t="shared" si="114"/>
        <v>0</v>
      </c>
      <c r="E170" s="26"/>
      <c r="F170" s="26"/>
      <c r="J170" s="1" t="str">
        <f t="shared" ref="J170" si="124">CONCATENATE(J167,"3")</f>
        <v>23</v>
      </c>
      <c r="N170" s="1">
        <v>0.99999969515306508</v>
      </c>
      <c r="O170" s="1">
        <v>5.4658027422395339E-2</v>
      </c>
      <c r="P170" s="1" t="e">
        <v>#N/A</v>
      </c>
      <c r="S170" s="1">
        <f t="shared" si="85"/>
        <v>3</v>
      </c>
      <c r="T170" s="1">
        <v>253</v>
      </c>
    </row>
    <row r="171" spans="1:20" x14ac:dyDescent="0.3">
      <c r="A171" s="1">
        <f t="shared" si="84"/>
        <v>3254</v>
      </c>
      <c r="B171" s="2">
        <f t="shared" si="113"/>
        <v>0</v>
      </c>
      <c r="C171" s="2">
        <f t="shared" si="111"/>
        <v>0</v>
      </c>
      <c r="D171" s="2">
        <f t="shared" si="114"/>
        <v>0</v>
      </c>
      <c r="E171" s="26"/>
      <c r="F171" s="26"/>
      <c r="J171" s="1">
        <f>J167-1</f>
        <v>1</v>
      </c>
      <c r="O171" s="1" t="s">
        <v>4</v>
      </c>
      <c r="P171" s="1" t="s">
        <v>5</v>
      </c>
      <c r="S171" s="1">
        <f t="shared" si="85"/>
        <v>3</v>
      </c>
      <c r="T171" s="1">
        <v>254</v>
      </c>
    </row>
    <row r="172" spans="1:20" x14ac:dyDescent="0.3">
      <c r="A172" s="1">
        <f t="shared" si="84"/>
        <v>3255</v>
      </c>
      <c r="B172" s="2">
        <f t="shared" si="113"/>
        <v>0</v>
      </c>
      <c r="C172" s="2">
        <f t="shared" si="111"/>
        <v>0</v>
      </c>
      <c r="D172" s="2">
        <f t="shared" si="114"/>
        <v>0</v>
      </c>
      <c r="E172" s="26"/>
      <c r="F172" s="26"/>
      <c r="J172" s="1" t="str">
        <f>CONCATENATE(J171,"1")</f>
        <v>11</v>
      </c>
      <c r="O172" s="1">
        <f t="array" ref="O172:P174">LINEST($B134:$B136,$C134:$C136^{1},TRUE,TRUE)</f>
        <v>0.99009771578248396</v>
      </c>
      <c r="P172" s="1">
        <v>9.7360816441769202</v>
      </c>
      <c r="S172" s="1">
        <f t="shared" si="85"/>
        <v>3</v>
      </c>
      <c r="T172" s="1">
        <v>255</v>
      </c>
    </row>
    <row r="173" spans="1:20" x14ac:dyDescent="0.3">
      <c r="A173" s="1">
        <f t="shared" si="84"/>
        <v>3256</v>
      </c>
      <c r="B173" s="2">
        <f t="shared" si="113"/>
        <v>0</v>
      </c>
      <c r="C173" s="2">
        <f t="shared" si="111"/>
        <v>0</v>
      </c>
      <c r="D173" s="2">
        <f t="shared" si="114"/>
        <v>0</v>
      </c>
      <c r="E173" s="26"/>
      <c r="F173" s="26"/>
      <c r="J173" s="1" t="str">
        <f>CONCATENATE(J171,"2")</f>
        <v>12</v>
      </c>
      <c r="O173" s="1">
        <v>1.1319468964971933E-3</v>
      </c>
      <c r="P173" s="1">
        <v>0.96166570776810911</v>
      </c>
      <c r="S173" s="1">
        <f t="shared" si="85"/>
        <v>3</v>
      </c>
      <c r="T173" s="1">
        <v>256</v>
      </c>
    </row>
    <row r="174" spans="1:20" x14ac:dyDescent="0.3">
      <c r="A174" s="1">
        <f t="shared" si="84"/>
        <v>3257</v>
      </c>
      <c r="B174" s="2">
        <f t="shared" si="113"/>
        <v>0</v>
      </c>
      <c r="C174" s="2">
        <f t="shared" si="111"/>
        <v>0</v>
      </c>
      <c r="D174" s="2">
        <f t="shared" si="114"/>
        <v>0</v>
      </c>
      <c r="E174" s="30"/>
      <c r="F174" s="30"/>
      <c r="J174" s="1" t="str">
        <f>CONCATENATE(J171,"3")</f>
        <v>13</v>
      </c>
      <c r="O174" s="1">
        <v>0.99999869294030919</v>
      </c>
      <c r="P174" s="1">
        <v>8.0841192804228967E-2</v>
      </c>
      <c r="S174" s="1">
        <f t="shared" si="85"/>
        <v>3</v>
      </c>
      <c r="T174" s="1">
        <v>257</v>
      </c>
    </row>
    <row r="175" spans="1:20" s="8" customFormat="1" x14ac:dyDescent="0.3"/>
    <row r="176" spans="1:20" x14ac:dyDescent="0.3">
      <c r="A176" s="1">
        <f t="shared" ref="A176:A232" si="125">ROUND(CONCATENATE(S176,T176),0)</f>
        <v>4201</v>
      </c>
      <c r="B176" s="57" t="s">
        <v>0</v>
      </c>
      <c r="C176" s="57"/>
      <c r="D176" s="56" t="s">
        <v>46</v>
      </c>
      <c r="E176" s="56"/>
      <c r="F176" s="56"/>
      <c r="G176" s="56"/>
      <c r="H176" s="56"/>
      <c r="L176" s="1">
        <v>1</v>
      </c>
      <c r="M176" s="1">
        <v>2</v>
      </c>
      <c r="N176" s="1">
        <v>3</v>
      </c>
      <c r="O176" s="1">
        <v>4</v>
      </c>
      <c r="P176" s="1">
        <v>5</v>
      </c>
      <c r="Q176" s="1">
        <v>6</v>
      </c>
      <c r="R176" s="1">
        <v>7</v>
      </c>
      <c r="S176" s="1">
        <f t="shared" ref="S176" si="126">S174+1</f>
        <v>4</v>
      </c>
      <c r="T176" s="1">
        <v>201</v>
      </c>
    </row>
    <row r="177" spans="1:20" x14ac:dyDescent="0.3">
      <c r="A177" s="1">
        <f t="shared" si="125"/>
        <v>4202</v>
      </c>
      <c r="B177" s="57"/>
      <c r="C177" s="57"/>
      <c r="D177" s="57"/>
      <c r="E177" s="57"/>
      <c r="F177" s="57"/>
      <c r="G177" s="57"/>
      <c r="H177" s="57"/>
      <c r="K177" s="2" t="s">
        <v>1</v>
      </c>
      <c r="L177" s="2"/>
      <c r="M177" s="2" t="s">
        <v>2</v>
      </c>
      <c r="N177" s="2" t="s">
        <v>3</v>
      </c>
      <c r="O177" s="2" t="s">
        <v>4</v>
      </c>
      <c r="P177" s="2" t="s">
        <v>5</v>
      </c>
      <c r="S177" s="1">
        <f t="shared" ref="S177:S240" si="127">S176</f>
        <v>4</v>
      </c>
      <c r="T177" s="1">
        <v>202</v>
      </c>
    </row>
    <row r="178" spans="1:20" x14ac:dyDescent="0.3">
      <c r="A178" s="1">
        <f t="shared" si="125"/>
        <v>4203</v>
      </c>
      <c r="B178" s="64" t="s">
        <v>6</v>
      </c>
      <c r="C178" s="64"/>
      <c r="D178" s="56" t="s">
        <v>97</v>
      </c>
      <c r="E178" s="56"/>
      <c r="F178" s="56"/>
      <c r="G178" s="56"/>
      <c r="H178" s="56"/>
      <c r="K178" s="3">
        <f t="shared" ref="K178" si="128">IF(K180&gt;=3,N180,LOOKUP(15-($B207+1),M176:R176,M180:P180))</f>
        <v>7.8008194168222361E-3</v>
      </c>
      <c r="L178" s="2" t="str">
        <f t="shared" ref="L178" si="129">CONCATENATE($B207,"1")</f>
        <v>51</v>
      </c>
      <c r="M178" s="2">
        <f t="shared" ref="M178" si="130">VLOOKUP(L178,J181:P232,O176,FALSE)</f>
        <v>-5.7637750888708536E-10</v>
      </c>
      <c r="N178" s="2">
        <f t="shared" ref="N178" si="131">VLOOKUP(L178,J181:P232,P176,FALSE)</f>
        <v>1.3503379454848327E-6</v>
      </c>
      <c r="O178" s="2">
        <f t="shared" ref="O178" si="132">VLOOKUP(L178,J181:P232,Q176,FALSE)</f>
        <v>0.99915590867238524</v>
      </c>
      <c r="P178" s="2">
        <f t="shared" ref="P178" si="133">VLOOKUP(L178,J181:P232,R176,FALSE)</f>
        <v>-2.4334906636035436E-3</v>
      </c>
      <c r="S178" s="1">
        <f t="shared" si="127"/>
        <v>4</v>
      </c>
      <c r="T178" s="1">
        <v>203</v>
      </c>
    </row>
    <row r="179" spans="1:20" x14ac:dyDescent="0.3">
      <c r="A179" s="1">
        <f t="shared" si="125"/>
        <v>4204</v>
      </c>
      <c r="B179" s="57" t="s">
        <v>7</v>
      </c>
      <c r="C179" s="57"/>
      <c r="D179" s="56" t="s">
        <v>105</v>
      </c>
      <c r="E179" s="56"/>
      <c r="F179" s="56"/>
      <c r="G179" s="56"/>
      <c r="H179" s="56"/>
      <c r="K179" s="2" t="s">
        <v>8</v>
      </c>
      <c r="L179" s="2" t="str">
        <f t="shared" ref="L179" si="134">CONCATENATE($B207,"2")</f>
        <v>52</v>
      </c>
      <c r="M179" s="2">
        <f t="shared" ref="M179" si="135">VLOOKUP(L179,J181:P232,O176,FALSE)</f>
        <v>5.2771653937883545E-10</v>
      </c>
      <c r="N179" s="2">
        <f t="shared" ref="N179" si="136">VLOOKUP(L179,J181:P232,P176,FALSE)</f>
        <v>1.2688305330693217E-6</v>
      </c>
      <c r="O179" s="2">
        <f t="shared" ref="O179" si="137">VLOOKUP(L179,J181:P232,Q176,FALSE)</f>
        <v>9.8487388676462531E-4</v>
      </c>
      <c r="P179" s="2">
        <f t="shared" ref="P179" si="138">VLOOKUP(L179,J181:P232,R176,FALSE)</f>
        <v>0.24587138431785108</v>
      </c>
      <c r="S179" s="1">
        <f t="shared" si="127"/>
        <v>4</v>
      </c>
      <c r="T179" s="1">
        <v>204</v>
      </c>
    </row>
    <row r="180" spans="1:20" x14ac:dyDescent="0.3">
      <c r="A180" s="1">
        <f t="shared" si="125"/>
        <v>4205</v>
      </c>
      <c r="B180" s="57" t="s">
        <v>9</v>
      </c>
      <c r="C180" s="57"/>
      <c r="D180" s="56" t="s">
        <v>106</v>
      </c>
      <c r="E180" s="56"/>
      <c r="F180" s="56"/>
      <c r="G180" s="56"/>
      <c r="H180" s="56"/>
      <c r="K180" s="3">
        <f t="shared" ref="K180" si="139">IF(B207&gt;3,3,B207)</f>
        <v>3</v>
      </c>
      <c r="L180" s="2" t="str">
        <f t="shared" ref="L180" si="140">CONCATENATE($B207,"3")</f>
        <v>53</v>
      </c>
      <c r="M180" s="2">
        <f t="shared" ref="M180" si="141">VLOOKUP(L180,J181:P232,O176,FALSE)</f>
        <v>0.99999999934923711</v>
      </c>
      <c r="N180" s="2">
        <f t="shared" ref="N180" si="142">VLOOKUP(L180,J181:P232,P176,FALSE)</f>
        <v>7.8008194168222361E-3</v>
      </c>
      <c r="O180" s="2" t="e">
        <f t="shared" ref="O180" si="143">VLOOKUP(L180,J181:P232,Q176,FALSE)</f>
        <v>#N/A</v>
      </c>
      <c r="P180" s="2" t="e">
        <f t="shared" ref="P180" si="144">VLOOKUP(L180,J181:P232,R176,FALSE)</f>
        <v>#N/A</v>
      </c>
      <c r="S180" s="1">
        <f t="shared" si="127"/>
        <v>4</v>
      </c>
      <c r="T180" s="1">
        <v>205</v>
      </c>
    </row>
    <row r="181" spans="1:20" x14ac:dyDescent="0.3">
      <c r="A181" s="1">
        <f t="shared" si="125"/>
        <v>4206</v>
      </c>
      <c r="B181" s="57" t="s">
        <v>10</v>
      </c>
      <c r="C181" s="57"/>
      <c r="D181" s="62" t="s">
        <v>107</v>
      </c>
      <c r="E181" s="56"/>
      <c r="F181" s="56"/>
      <c r="G181" s="56"/>
      <c r="H181" s="56"/>
      <c r="J181" s="1">
        <v>13</v>
      </c>
      <c r="M181" s="1" t="s">
        <v>2</v>
      </c>
      <c r="N181" s="1" t="s">
        <v>3</v>
      </c>
      <c r="O181" s="1" t="s">
        <v>4</v>
      </c>
      <c r="P181" s="1" t="s">
        <v>5</v>
      </c>
      <c r="S181" s="1">
        <f t="shared" si="127"/>
        <v>4</v>
      </c>
      <c r="T181" s="1">
        <v>206</v>
      </c>
    </row>
    <row r="182" spans="1:20" x14ac:dyDescent="0.3">
      <c r="A182" s="1">
        <f t="shared" si="125"/>
        <v>4207</v>
      </c>
      <c r="B182" s="57" t="s">
        <v>11</v>
      </c>
      <c r="C182" s="57"/>
      <c r="D182" s="63">
        <v>45254</v>
      </c>
      <c r="E182" s="63"/>
      <c r="F182" s="63"/>
      <c r="G182" s="63"/>
      <c r="H182" s="63"/>
      <c r="J182" s="1" t="str">
        <f t="shared" ref="J182" si="145">CONCATENATE(J181,"1")</f>
        <v>131</v>
      </c>
      <c r="M182" s="1" t="e">
        <f t="array" ref="M182:P184">LINEST($B192:$B206,$C192:$C206^{1,2,3},TRUE,TRUE)</f>
        <v>#VALUE!</v>
      </c>
      <c r="N182" s="1" t="e">
        <v>#VALUE!</v>
      </c>
      <c r="O182" s="1" t="e">
        <v>#VALUE!</v>
      </c>
      <c r="P182" s="1" t="e">
        <v>#VALUE!</v>
      </c>
      <c r="S182" s="1">
        <f t="shared" si="127"/>
        <v>4</v>
      </c>
      <c r="T182" s="1">
        <v>207</v>
      </c>
    </row>
    <row r="183" spans="1:20" x14ac:dyDescent="0.3">
      <c r="A183" s="1">
        <f t="shared" si="125"/>
        <v>4208</v>
      </c>
      <c r="B183" s="57" t="s">
        <v>12</v>
      </c>
      <c r="C183" s="57"/>
      <c r="D183" s="58">
        <v>45991</v>
      </c>
      <c r="E183" s="58"/>
      <c r="F183" s="58"/>
      <c r="G183" s="58"/>
      <c r="H183" s="58"/>
      <c r="J183" s="1" t="str">
        <f t="shared" ref="J183" si="146">CONCATENATE(J181,"2")</f>
        <v>132</v>
      </c>
      <c r="M183" s="1" t="e">
        <v>#VALUE!</v>
      </c>
      <c r="N183" s="1" t="e">
        <v>#VALUE!</v>
      </c>
      <c r="O183" s="1" t="e">
        <v>#VALUE!</v>
      </c>
      <c r="P183" s="1" t="e">
        <v>#VALUE!</v>
      </c>
      <c r="S183" s="1">
        <f t="shared" si="127"/>
        <v>4</v>
      </c>
      <c r="T183" s="1">
        <v>208</v>
      </c>
    </row>
    <row r="184" spans="1:20" x14ac:dyDescent="0.3">
      <c r="A184" s="1">
        <f t="shared" si="125"/>
        <v>4209</v>
      </c>
      <c r="B184" s="57" t="s">
        <v>13</v>
      </c>
      <c r="C184" s="57"/>
      <c r="D184" s="9">
        <v>0.01</v>
      </c>
      <c r="E184" s="54" t="s">
        <v>14</v>
      </c>
      <c r="F184" s="54"/>
      <c r="G184" s="54"/>
      <c r="H184" s="9" t="s">
        <v>59</v>
      </c>
      <c r="J184" s="1" t="str">
        <f t="shared" ref="J184" si="147">CONCATENATE(J181,"3")</f>
        <v>133</v>
      </c>
      <c r="M184" s="1" t="e">
        <v>#VALUE!</v>
      </c>
      <c r="N184" s="1" t="e">
        <v>#VALUE!</v>
      </c>
      <c r="O184" s="1" t="e">
        <v>#VALUE!</v>
      </c>
      <c r="P184" s="1" t="e">
        <v>#VALUE!</v>
      </c>
      <c r="S184" s="1">
        <f t="shared" si="127"/>
        <v>4</v>
      </c>
      <c r="T184" s="1">
        <v>209</v>
      </c>
    </row>
    <row r="185" spans="1:20" x14ac:dyDescent="0.3">
      <c r="A185" s="1">
        <f t="shared" si="125"/>
        <v>4210</v>
      </c>
      <c r="B185" s="57" t="s">
        <v>15</v>
      </c>
      <c r="C185" s="57"/>
      <c r="D185" s="2">
        <f t="shared" ref="D185" si="148">MIN(B192:B206)</f>
        <v>498.88299999999998</v>
      </c>
      <c r="E185" s="4" t="s">
        <v>16</v>
      </c>
      <c r="F185" s="2">
        <f t="shared" ref="F185" si="149">MAX(B192:B206)</f>
        <v>1099.655</v>
      </c>
      <c r="G185" s="5" t="str">
        <f t="shared" ref="G185" si="150">IF(H184="","",H184)</f>
        <v>hPa</v>
      </c>
      <c r="H185" s="23"/>
      <c r="J185" s="1">
        <f t="shared" ref="J185" si="151">J181-1</f>
        <v>12</v>
      </c>
      <c r="M185" s="1" t="s">
        <v>2</v>
      </c>
      <c r="N185" s="1" t="s">
        <v>3</v>
      </c>
      <c r="O185" s="1" t="s">
        <v>4</v>
      </c>
      <c r="P185" s="1" t="s">
        <v>5</v>
      </c>
      <c r="S185" s="1">
        <f t="shared" si="127"/>
        <v>4</v>
      </c>
      <c r="T185" s="1">
        <v>210</v>
      </c>
    </row>
    <row r="186" spans="1:20" x14ac:dyDescent="0.3">
      <c r="A186" s="1">
        <f t="shared" si="125"/>
        <v>4211</v>
      </c>
      <c r="J186" s="1" t="str">
        <f t="shared" ref="J186" si="152">CONCATENATE(J185,"1")</f>
        <v>121</v>
      </c>
      <c r="M186" s="1" t="e">
        <f t="array" ref="M186:P188">LINEST($B192:$B205,$C192:$C205^{1,2,3},TRUE,TRUE)</f>
        <v>#VALUE!</v>
      </c>
      <c r="N186" s="1" t="e">
        <v>#VALUE!</v>
      </c>
      <c r="O186" s="1" t="e">
        <v>#VALUE!</v>
      </c>
      <c r="P186" s="1" t="e">
        <v>#VALUE!</v>
      </c>
      <c r="S186" s="1">
        <f t="shared" si="127"/>
        <v>4</v>
      </c>
      <c r="T186" s="1">
        <v>211</v>
      </c>
    </row>
    <row r="187" spans="1:20" x14ac:dyDescent="0.3">
      <c r="A187" s="1">
        <f t="shared" si="125"/>
        <v>4212</v>
      </c>
      <c r="B187" s="59" t="s">
        <v>17</v>
      </c>
      <c r="C187" s="59"/>
      <c r="D187" s="59"/>
      <c r="E187" s="59"/>
      <c r="F187" s="59"/>
      <c r="G187" s="60" t="s">
        <v>29</v>
      </c>
      <c r="H187" s="61"/>
      <c r="J187" s="1" t="str">
        <f t="shared" ref="J187" si="153">CONCATENATE(J185,"2")</f>
        <v>122</v>
      </c>
      <c r="M187" s="1" t="e">
        <v>#VALUE!</v>
      </c>
      <c r="N187" s="1" t="e">
        <v>#VALUE!</v>
      </c>
      <c r="O187" s="1" t="e">
        <v>#VALUE!</v>
      </c>
      <c r="P187" s="1" t="e">
        <v>#VALUE!</v>
      </c>
      <c r="S187" s="1">
        <f t="shared" si="127"/>
        <v>4</v>
      </c>
      <c r="T187" s="1">
        <v>212</v>
      </c>
    </row>
    <row r="188" spans="1:20" x14ac:dyDescent="0.3">
      <c r="A188" s="1">
        <f t="shared" si="125"/>
        <v>4213</v>
      </c>
      <c r="B188" s="54" t="s">
        <v>18</v>
      </c>
      <c r="C188" s="54"/>
      <c r="D188" s="54"/>
      <c r="E188" s="54" t="str">
        <f t="shared" ref="E188" si="154">IF(D181="","",D181)</f>
        <v>MF-P 747/23</v>
      </c>
      <c r="F188" s="54"/>
      <c r="G188" s="5" t="s">
        <v>18</v>
      </c>
      <c r="H188" s="20" t="s">
        <v>99</v>
      </c>
      <c r="J188" s="1" t="str">
        <f t="shared" ref="J188" si="155">CONCATENATE(J185,"3")</f>
        <v>123</v>
      </c>
      <c r="M188" s="1" t="e">
        <v>#VALUE!</v>
      </c>
      <c r="N188" s="1" t="e">
        <v>#VALUE!</v>
      </c>
      <c r="O188" s="1" t="e">
        <v>#VALUE!</v>
      </c>
      <c r="P188" s="1" t="e">
        <v>#VALUE!</v>
      </c>
      <c r="S188" s="1">
        <f t="shared" si="127"/>
        <v>4</v>
      </c>
      <c r="T188" s="1">
        <v>213</v>
      </c>
    </row>
    <row r="189" spans="1:20" ht="15" customHeight="1" x14ac:dyDescent="0.3">
      <c r="A189" s="1">
        <f t="shared" si="125"/>
        <v>4214</v>
      </c>
      <c r="B189" s="6" t="s">
        <v>19</v>
      </c>
      <c r="C189" s="6" t="s">
        <v>20</v>
      </c>
      <c r="D189" s="6" t="s">
        <v>21</v>
      </c>
      <c r="E189" s="6"/>
      <c r="F189" s="55" t="s">
        <v>31</v>
      </c>
      <c r="G189" s="6" t="s">
        <v>19</v>
      </c>
      <c r="H189" s="6" t="s">
        <v>20</v>
      </c>
      <c r="J189" s="1">
        <f t="shared" ref="J189" si="156">J185-1</f>
        <v>11</v>
      </c>
      <c r="M189" s="1" t="s">
        <v>2</v>
      </c>
      <c r="N189" s="1" t="s">
        <v>3</v>
      </c>
      <c r="O189" s="1" t="s">
        <v>4</v>
      </c>
      <c r="P189" s="1" t="s">
        <v>5</v>
      </c>
      <c r="S189" s="1">
        <f t="shared" si="127"/>
        <v>4</v>
      </c>
      <c r="T189" s="1">
        <v>214</v>
      </c>
    </row>
    <row r="190" spans="1:20" x14ac:dyDescent="0.3">
      <c r="A190" s="1">
        <f t="shared" si="125"/>
        <v>4215</v>
      </c>
      <c r="B190" s="6" t="s">
        <v>22</v>
      </c>
      <c r="C190" s="6" t="s">
        <v>23</v>
      </c>
      <c r="D190" s="6" t="s">
        <v>24</v>
      </c>
      <c r="E190" s="6" t="s">
        <v>30</v>
      </c>
      <c r="F190" s="55"/>
      <c r="G190" s="6" t="s">
        <v>22</v>
      </c>
      <c r="H190" s="6" t="s">
        <v>23</v>
      </c>
      <c r="J190" s="1" t="str">
        <f t="shared" ref="J190" si="157">CONCATENATE(J189,"1")</f>
        <v>111</v>
      </c>
      <c r="M190" s="1" t="e">
        <f t="array" ref="M190:P192">LINEST($B192:$B204,$C192:$C204^{1,2,3},TRUE,TRUE)</f>
        <v>#VALUE!</v>
      </c>
      <c r="N190" s="1" t="e">
        <v>#VALUE!</v>
      </c>
      <c r="O190" s="1" t="e">
        <v>#VALUE!</v>
      </c>
      <c r="P190" s="1" t="e">
        <v>#VALUE!</v>
      </c>
      <c r="S190" s="1">
        <f t="shared" si="127"/>
        <v>4</v>
      </c>
      <c r="T190" s="1">
        <v>215</v>
      </c>
    </row>
    <row r="191" spans="1:20" x14ac:dyDescent="0.3">
      <c r="A191" s="1">
        <f t="shared" si="125"/>
        <v>4216</v>
      </c>
      <c r="B191" s="7" t="str">
        <f t="shared" ref="B191" si="158">IF(H184="","",H184)</f>
        <v>hPa</v>
      </c>
      <c r="C191" s="7" t="str">
        <f t="shared" ref="C191" si="159">IF(H184="","",H184)</f>
        <v>hPa</v>
      </c>
      <c r="D191" s="7" t="str">
        <f t="shared" ref="D191" si="160">IF(H184="","",H184)</f>
        <v>hPa</v>
      </c>
      <c r="E191" s="7"/>
      <c r="F191" s="7" t="str">
        <f t="shared" ref="F191" si="161">IF(I184="","",I184)</f>
        <v/>
      </c>
      <c r="G191" s="7" t="str">
        <f t="shared" ref="G191" si="162">IF(H184="","",H184)</f>
        <v>hPa</v>
      </c>
      <c r="H191" s="7" t="str">
        <f t="shared" ref="H191" si="163">IF(H184="","",H184)</f>
        <v>hPa</v>
      </c>
      <c r="J191" s="1" t="str">
        <f t="shared" ref="J191" si="164">CONCATENATE(J189,"2")</f>
        <v>112</v>
      </c>
      <c r="M191" s="1" t="e">
        <v>#VALUE!</v>
      </c>
      <c r="N191" s="1" t="e">
        <v>#VALUE!</v>
      </c>
      <c r="O191" s="1" t="e">
        <v>#VALUE!</v>
      </c>
      <c r="P191" s="1" t="e">
        <v>#VALUE!</v>
      </c>
      <c r="S191" s="1">
        <f t="shared" si="127"/>
        <v>4</v>
      </c>
      <c r="T191" s="1">
        <v>216</v>
      </c>
    </row>
    <row r="192" spans="1:20" x14ac:dyDescent="0.3">
      <c r="A192" s="1">
        <f t="shared" si="125"/>
        <v>4217</v>
      </c>
      <c r="B192" s="24">
        <v>498.88299999999998</v>
      </c>
      <c r="C192" s="32">
        <v>499.04</v>
      </c>
      <c r="D192" s="24">
        <v>0.05</v>
      </c>
      <c r="E192" s="24">
        <v>2</v>
      </c>
      <c r="F192" s="24">
        <v>1000000</v>
      </c>
      <c r="G192" s="25">
        <v>500</v>
      </c>
      <c r="H192" s="25">
        <v>500.05650000000003</v>
      </c>
      <c r="J192" s="1" t="str">
        <f t="shared" ref="J192" si="165">CONCATENATE(J189,"3")</f>
        <v>113</v>
      </c>
      <c r="M192" s="1" t="e">
        <v>#VALUE!</v>
      </c>
      <c r="N192" s="1" t="e">
        <v>#VALUE!</v>
      </c>
      <c r="O192" s="1" t="e">
        <v>#VALUE!</v>
      </c>
      <c r="P192" s="1" t="e">
        <v>#VALUE!</v>
      </c>
      <c r="S192" s="1">
        <f t="shared" si="127"/>
        <v>4</v>
      </c>
      <c r="T192" s="1">
        <v>217</v>
      </c>
    </row>
    <row r="193" spans="1:20" x14ac:dyDescent="0.3">
      <c r="A193" s="1">
        <f t="shared" si="125"/>
        <v>4218</v>
      </c>
      <c r="B193" s="24">
        <v>598.04499999999996</v>
      </c>
      <c r="C193" s="32">
        <v>598.20000000000005</v>
      </c>
      <c r="D193" s="24">
        <v>0.05</v>
      </c>
      <c r="E193" s="24">
        <v>2</v>
      </c>
      <c r="F193" s="24">
        <v>1000000</v>
      </c>
      <c r="G193" s="25">
        <v>600</v>
      </c>
      <c r="H193" s="25">
        <v>600.05050000000006</v>
      </c>
      <c r="J193" s="1">
        <f t="shared" ref="J193" si="166">J189-1</f>
        <v>10</v>
      </c>
      <c r="M193" s="1" t="s">
        <v>2</v>
      </c>
      <c r="N193" s="1" t="s">
        <v>3</v>
      </c>
      <c r="O193" s="1" t="s">
        <v>4</v>
      </c>
      <c r="P193" s="1" t="s">
        <v>5</v>
      </c>
      <c r="S193" s="1">
        <f t="shared" si="127"/>
        <v>4</v>
      </c>
      <c r="T193" s="1">
        <v>218</v>
      </c>
    </row>
    <row r="194" spans="1:20" x14ac:dyDescent="0.3">
      <c r="A194" s="1">
        <f t="shared" si="125"/>
        <v>4219</v>
      </c>
      <c r="B194" s="24">
        <v>697.18899999999996</v>
      </c>
      <c r="C194" s="32">
        <v>697.31</v>
      </c>
      <c r="D194" s="24">
        <v>0.05</v>
      </c>
      <c r="E194" s="24">
        <v>2</v>
      </c>
      <c r="F194" s="24">
        <v>1000000</v>
      </c>
      <c r="G194" s="25">
        <v>700</v>
      </c>
      <c r="H194" s="25">
        <v>700.04949999999997</v>
      </c>
      <c r="J194" s="1" t="str">
        <f t="shared" ref="J194" si="167">CONCATENATE(J193,"1")</f>
        <v>101</v>
      </c>
      <c r="M194" s="1" t="e">
        <f t="array" ref="M194:P196">LINEST($B192:$B203,$C192:$C203^{1,2,3},TRUE,TRUE)</f>
        <v>#VALUE!</v>
      </c>
      <c r="N194" s="1" t="e">
        <v>#VALUE!</v>
      </c>
      <c r="O194" s="1" t="e">
        <v>#VALUE!</v>
      </c>
      <c r="P194" s="1" t="e">
        <v>#VALUE!</v>
      </c>
      <c r="S194" s="1">
        <f t="shared" si="127"/>
        <v>4</v>
      </c>
      <c r="T194" s="1">
        <v>219</v>
      </c>
    </row>
    <row r="195" spans="1:20" x14ac:dyDescent="0.3">
      <c r="A195" s="1">
        <f t="shared" si="125"/>
        <v>4220</v>
      </c>
      <c r="B195" s="24">
        <v>799.26</v>
      </c>
      <c r="C195" s="32">
        <v>799.37</v>
      </c>
      <c r="D195" s="24">
        <v>0.05</v>
      </c>
      <c r="E195" s="24">
        <v>2</v>
      </c>
      <c r="F195" s="24">
        <v>1000000</v>
      </c>
      <c r="G195" s="25">
        <v>800</v>
      </c>
      <c r="H195" s="25">
        <v>800.05600000000004</v>
      </c>
      <c r="J195" s="1" t="str">
        <f t="shared" ref="J195" si="168">CONCATENATE(J193,"2")</f>
        <v>102</v>
      </c>
      <c r="M195" s="1" t="e">
        <v>#VALUE!</v>
      </c>
      <c r="N195" s="1" t="e">
        <v>#VALUE!</v>
      </c>
      <c r="O195" s="1" t="e">
        <v>#VALUE!</v>
      </c>
      <c r="P195" s="1" t="e">
        <v>#VALUE!</v>
      </c>
      <c r="S195" s="1">
        <f t="shared" si="127"/>
        <v>4</v>
      </c>
      <c r="T195" s="1">
        <v>220</v>
      </c>
    </row>
    <row r="196" spans="1:20" x14ac:dyDescent="0.3">
      <c r="A196" s="1">
        <f t="shared" si="125"/>
        <v>4221</v>
      </c>
      <c r="B196" s="24">
        <v>898.42600000000004</v>
      </c>
      <c r="C196" s="32">
        <v>898.52</v>
      </c>
      <c r="D196" s="24">
        <v>0.05</v>
      </c>
      <c r="E196" s="24">
        <v>2</v>
      </c>
      <c r="F196" s="24">
        <v>1000000</v>
      </c>
      <c r="G196" s="25">
        <v>900</v>
      </c>
      <c r="H196" s="25">
        <v>900.04750000000001</v>
      </c>
      <c r="J196" s="1" t="str">
        <f t="shared" ref="J196" si="169">CONCATENATE(J193,"3")</f>
        <v>103</v>
      </c>
      <c r="M196" s="1" t="e">
        <v>#VALUE!</v>
      </c>
      <c r="N196" s="1" t="e">
        <v>#VALUE!</v>
      </c>
      <c r="O196" s="1" t="e">
        <v>#VALUE!</v>
      </c>
      <c r="P196" s="1" t="e">
        <v>#VALUE!</v>
      </c>
      <c r="S196" s="1">
        <f t="shared" si="127"/>
        <v>4</v>
      </c>
      <c r="T196" s="1">
        <v>221</v>
      </c>
    </row>
    <row r="197" spans="1:20" x14ac:dyDescent="0.3">
      <c r="A197" s="1">
        <f t="shared" si="125"/>
        <v>4222</v>
      </c>
      <c r="B197" s="24">
        <v>997.58100000000002</v>
      </c>
      <c r="C197" s="32">
        <v>997.65</v>
      </c>
      <c r="D197" s="24">
        <v>0.05</v>
      </c>
      <c r="E197" s="24">
        <v>2</v>
      </c>
      <c r="F197" s="24">
        <v>1000000</v>
      </c>
      <c r="G197" s="25">
        <v>1000</v>
      </c>
      <c r="H197" s="25">
        <v>1000.0415</v>
      </c>
      <c r="J197" s="1">
        <f t="shared" ref="J197" si="170">J193-1</f>
        <v>9</v>
      </c>
      <c r="M197" s="1" t="s">
        <v>2</v>
      </c>
      <c r="N197" s="1" t="s">
        <v>3</v>
      </c>
      <c r="O197" s="1" t="s">
        <v>4</v>
      </c>
      <c r="P197" s="1" t="s">
        <v>5</v>
      </c>
      <c r="S197" s="1">
        <f t="shared" si="127"/>
        <v>4</v>
      </c>
      <c r="T197" s="1">
        <v>222</v>
      </c>
    </row>
    <row r="198" spans="1:20" x14ac:dyDescent="0.3">
      <c r="A198" s="1">
        <f t="shared" si="125"/>
        <v>4223</v>
      </c>
      <c r="B198" s="24">
        <v>1099.655</v>
      </c>
      <c r="C198" s="32">
        <v>1099.72</v>
      </c>
      <c r="D198" s="24">
        <v>0.05</v>
      </c>
      <c r="E198" s="24">
        <v>2</v>
      </c>
      <c r="F198" s="24">
        <v>1000000</v>
      </c>
      <c r="G198" s="25">
        <v>1100</v>
      </c>
      <c r="H198" s="25">
        <v>1100.048</v>
      </c>
      <c r="J198" s="1" t="str">
        <f t="shared" ref="J198" si="171">CONCATENATE(J197,"1")</f>
        <v>91</v>
      </c>
      <c r="M198" s="1" t="e">
        <f t="array" ref="M198:P200">LINEST($B192:$B202,$C192:$C202^{1,2,3},TRUE,TRUE)</f>
        <v>#VALUE!</v>
      </c>
      <c r="N198" s="1" t="e">
        <v>#VALUE!</v>
      </c>
      <c r="O198" s="1" t="e">
        <v>#VALUE!</v>
      </c>
      <c r="P198" s="1" t="e">
        <v>#VALUE!</v>
      </c>
      <c r="S198" s="1">
        <f t="shared" si="127"/>
        <v>4</v>
      </c>
      <c r="T198" s="1">
        <v>223</v>
      </c>
    </row>
    <row r="199" spans="1:20" x14ac:dyDescent="0.3">
      <c r="A199" s="1">
        <f t="shared" si="125"/>
        <v>4224</v>
      </c>
      <c r="B199" s="24"/>
      <c r="C199" s="24"/>
      <c r="D199" s="24"/>
      <c r="E199" s="24"/>
      <c r="F199" s="24"/>
      <c r="G199" s="25"/>
      <c r="H199" s="25"/>
      <c r="J199" s="1" t="str">
        <f t="shared" ref="J199" si="172">CONCATENATE(J197,"2")</f>
        <v>92</v>
      </c>
      <c r="M199" s="1" t="e">
        <v>#VALUE!</v>
      </c>
      <c r="N199" s="1" t="e">
        <v>#VALUE!</v>
      </c>
      <c r="O199" s="1" t="e">
        <v>#VALUE!</v>
      </c>
      <c r="P199" s="1" t="e">
        <v>#VALUE!</v>
      </c>
      <c r="S199" s="1">
        <f t="shared" si="127"/>
        <v>4</v>
      </c>
      <c r="T199" s="1">
        <v>224</v>
      </c>
    </row>
    <row r="200" spans="1:20" x14ac:dyDescent="0.3">
      <c r="A200" s="1">
        <f t="shared" si="125"/>
        <v>4225</v>
      </c>
      <c r="B200" s="24"/>
      <c r="C200" s="24"/>
      <c r="D200" s="24"/>
      <c r="E200" s="24"/>
      <c r="F200" s="24"/>
      <c r="G200" s="25"/>
      <c r="H200" s="25"/>
      <c r="J200" s="1" t="str">
        <f t="shared" ref="J200" si="173">CONCATENATE(J197,"3")</f>
        <v>93</v>
      </c>
      <c r="M200" s="1" t="e">
        <v>#VALUE!</v>
      </c>
      <c r="N200" s="1" t="e">
        <v>#VALUE!</v>
      </c>
      <c r="O200" s="1" t="e">
        <v>#VALUE!</v>
      </c>
      <c r="P200" s="1" t="e">
        <v>#VALUE!</v>
      </c>
      <c r="S200" s="1">
        <f t="shared" si="127"/>
        <v>4</v>
      </c>
      <c r="T200" s="1">
        <v>225</v>
      </c>
    </row>
    <row r="201" spans="1:20" x14ac:dyDescent="0.3">
      <c r="A201" s="1">
        <f t="shared" si="125"/>
        <v>4226</v>
      </c>
      <c r="B201" s="24"/>
      <c r="C201" s="24"/>
      <c r="D201" s="24"/>
      <c r="E201" s="24"/>
      <c r="F201" s="24"/>
      <c r="G201" s="25"/>
      <c r="H201" s="25"/>
      <c r="J201" s="1">
        <f t="shared" ref="J201" si="174">J197-1</f>
        <v>8</v>
      </c>
      <c r="M201" s="1" t="s">
        <v>2</v>
      </c>
      <c r="N201" s="1" t="s">
        <v>3</v>
      </c>
      <c r="O201" s="1" t="s">
        <v>4</v>
      </c>
      <c r="P201" s="1" t="s">
        <v>5</v>
      </c>
      <c r="S201" s="1">
        <f t="shared" si="127"/>
        <v>4</v>
      </c>
      <c r="T201" s="1">
        <v>226</v>
      </c>
    </row>
    <row r="202" spans="1:20" x14ac:dyDescent="0.3">
      <c r="A202" s="1">
        <f t="shared" si="125"/>
        <v>4227</v>
      </c>
      <c r="B202" s="24"/>
      <c r="C202" s="24"/>
      <c r="D202" s="24"/>
      <c r="E202" s="24"/>
      <c r="F202" s="24"/>
      <c r="G202" s="25"/>
      <c r="H202" s="25"/>
      <c r="J202" s="1" t="str">
        <f t="shared" ref="J202" si="175">CONCATENATE(J201,"1")</f>
        <v>81</v>
      </c>
      <c r="M202" s="1" t="e">
        <f t="array" ref="M202:P204">LINEST($B192:$B201,$C192:$C201^{1,2,3},TRUE,TRUE)</f>
        <v>#VALUE!</v>
      </c>
      <c r="N202" s="1" t="e">
        <v>#VALUE!</v>
      </c>
      <c r="O202" s="1" t="e">
        <v>#VALUE!</v>
      </c>
      <c r="P202" s="1" t="e">
        <v>#VALUE!</v>
      </c>
      <c r="S202" s="1">
        <f t="shared" si="127"/>
        <v>4</v>
      </c>
      <c r="T202" s="1">
        <v>227</v>
      </c>
    </row>
    <row r="203" spans="1:20" x14ac:dyDescent="0.3">
      <c r="A203" s="1">
        <f t="shared" si="125"/>
        <v>4228</v>
      </c>
      <c r="B203" s="24"/>
      <c r="C203" s="24"/>
      <c r="D203" s="24"/>
      <c r="E203" s="24"/>
      <c r="F203" s="24"/>
      <c r="G203" s="25"/>
      <c r="H203" s="25"/>
      <c r="J203" s="1" t="str">
        <f t="shared" ref="J203" si="176">CONCATENATE(J201,"2")</f>
        <v>82</v>
      </c>
      <c r="M203" s="1" t="e">
        <v>#VALUE!</v>
      </c>
      <c r="N203" s="1" t="e">
        <v>#VALUE!</v>
      </c>
      <c r="O203" s="1" t="e">
        <v>#VALUE!</v>
      </c>
      <c r="P203" s="1" t="e">
        <v>#VALUE!</v>
      </c>
      <c r="S203" s="1">
        <f t="shared" si="127"/>
        <v>4</v>
      </c>
      <c r="T203" s="1">
        <v>228</v>
      </c>
    </row>
    <row r="204" spans="1:20" x14ac:dyDescent="0.3">
      <c r="A204" s="1">
        <f t="shared" si="125"/>
        <v>4229</v>
      </c>
      <c r="B204" s="24"/>
      <c r="C204" s="24"/>
      <c r="D204" s="24"/>
      <c r="E204" s="24"/>
      <c r="F204" s="24"/>
      <c r="G204" s="25"/>
      <c r="H204" s="25"/>
      <c r="J204" s="1" t="str">
        <f t="shared" ref="J204" si="177">CONCATENATE(J201,"3")</f>
        <v>83</v>
      </c>
      <c r="M204" s="1" t="e">
        <v>#VALUE!</v>
      </c>
      <c r="N204" s="1" t="e">
        <v>#VALUE!</v>
      </c>
      <c r="O204" s="1" t="e">
        <v>#VALUE!</v>
      </c>
      <c r="P204" s="1" t="e">
        <v>#VALUE!</v>
      </c>
      <c r="S204" s="1">
        <f t="shared" si="127"/>
        <v>4</v>
      </c>
      <c r="T204" s="1">
        <v>229</v>
      </c>
    </row>
    <row r="205" spans="1:20" x14ac:dyDescent="0.3">
      <c r="A205" s="1">
        <f t="shared" si="125"/>
        <v>4230</v>
      </c>
      <c r="B205" s="24"/>
      <c r="C205" s="24"/>
      <c r="D205" s="24"/>
      <c r="E205" s="24"/>
      <c r="F205" s="24"/>
      <c r="G205" s="25"/>
      <c r="H205" s="25"/>
      <c r="J205" s="1">
        <f t="shared" ref="J205" si="178">J201-1</f>
        <v>7</v>
      </c>
      <c r="M205" s="1" t="s">
        <v>2</v>
      </c>
      <c r="N205" s="1" t="s">
        <v>3</v>
      </c>
      <c r="O205" s="1" t="s">
        <v>4</v>
      </c>
      <c r="P205" s="1" t="s">
        <v>5</v>
      </c>
      <c r="S205" s="1">
        <f t="shared" si="127"/>
        <v>4</v>
      </c>
      <c r="T205" s="1">
        <v>230</v>
      </c>
    </row>
    <row r="206" spans="1:20" x14ac:dyDescent="0.3">
      <c r="A206" s="1">
        <f t="shared" si="125"/>
        <v>4231</v>
      </c>
      <c r="B206" s="24"/>
      <c r="C206" s="24"/>
      <c r="D206" s="24"/>
      <c r="E206" s="24"/>
      <c r="F206" s="24"/>
      <c r="G206" s="25"/>
      <c r="H206" s="25"/>
      <c r="J206" s="1" t="str">
        <f t="shared" ref="J206" si="179">CONCATENATE(J205,"1")</f>
        <v>71</v>
      </c>
      <c r="M206" s="1" t="e">
        <f t="array" ref="M206:P208">LINEST($B192:$B200,$C192:$C200^{1,2,3},TRUE,TRUE)</f>
        <v>#VALUE!</v>
      </c>
      <c r="N206" s="1" t="e">
        <v>#VALUE!</v>
      </c>
      <c r="O206" s="1" t="e">
        <v>#VALUE!</v>
      </c>
      <c r="P206" s="1" t="e">
        <v>#VALUE!</v>
      </c>
      <c r="S206" s="1">
        <f t="shared" si="127"/>
        <v>4</v>
      </c>
      <c r="T206" s="1">
        <v>231</v>
      </c>
    </row>
    <row r="207" spans="1:20" x14ac:dyDescent="0.3">
      <c r="A207" s="1">
        <f t="shared" si="125"/>
        <v>4232</v>
      </c>
      <c r="B207" s="2">
        <f t="shared" ref="B207" si="180">COUNT(B192:B206)-2</f>
        <v>5</v>
      </c>
      <c r="J207" s="1" t="str">
        <f t="shared" ref="J207" si="181">CONCATENATE(J205,"2")</f>
        <v>72</v>
      </c>
      <c r="M207" s="1" t="e">
        <v>#VALUE!</v>
      </c>
      <c r="N207" s="1" t="e">
        <v>#VALUE!</v>
      </c>
      <c r="O207" s="1" t="e">
        <v>#VALUE!</v>
      </c>
      <c r="P207" s="1" t="e">
        <v>#VALUE!</v>
      </c>
      <c r="S207" s="1">
        <f t="shared" si="127"/>
        <v>4</v>
      </c>
      <c r="T207" s="1">
        <v>232</v>
      </c>
    </row>
    <row r="208" spans="1:20" x14ac:dyDescent="0.3">
      <c r="A208" s="1">
        <f t="shared" si="125"/>
        <v>4233</v>
      </c>
      <c r="J208" s="1" t="str">
        <f t="shared" ref="J208" si="182">CONCATENATE(J205,"3")</f>
        <v>73</v>
      </c>
      <c r="M208" s="1" t="e">
        <v>#VALUE!</v>
      </c>
      <c r="N208" s="1" t="e">
        <v>#VALUE!</v>
      </c>
      <c r="O208" s="1" t="e">
        <v>#VALUE!</v>
      </c>
      <c r="P208" s="1" t="e">
        <v>#VALUE!</v>
      </c>
      <c r="S208" s="1">
        <f t="shared" si="127"/>
        <v>4</v>
      </c>
      <c r="T208" s="1">
        <v>233</v>
      </c>
    </row>
    <row r="209" spans="1:20" x14ac:dyDescent="0.3">
      <c r="A209" s="1">
        <f t="shared" si="125"/>
        <v>4234</v>
      </c>
      <c r="B209" s="54" t="s">
        <v>25</v>
      </c>
      <c r="C209" s="54"/>
      <c r="D209" s="54"/>
      <c r="E209" s="54"/>
      <c r="F209" s="54"/>
      <c r="G209" s="54"/>
      <c r="H209" s="54"/>
      <c r="J209" s="1">
        <f t="shared" ref="J209" si="183">J205-1</f>
        <v>6</v>
      </c>
      <c r="M209" s="1" t="s">
        <v>2</v>
      </c>
      <c r="N209" s="1" t="s">
        <v>3</v>
      </c>
      <c r="O209" s="1" t="s">
        <v>4</v>
      </c>
      <c r="P209" s="1" t="s">
        <v>5</v>
      </c>
      <c r="S209" s="1">
        <f t="shared" si="127"/>
        <v>4</v>
      </c>
      <c r="T209" s="1">
        <v>234</v>
      </c>
    </row>
    <row r="210" spans="1:20" x14ac:dyDescent="0.3">
      <c r="A210" s="1">
        <f t="shared" si="125"/>
        <v>4235</v>
      </c>
      <c r="B210" s="56"/>
      <c r="C210" s="56"/>
      <c r="D210" s="56"/>
      <c r="E210" s="56"/>
      <c r="F210" s="56"/>
      <c r="G210" s="56"/>
      <c r="H210" s="56"/>
      <c r="J210" s="1" t="str">
        <f t="shared" ref="J210" si="184">CONCATENATE(J209,"1")</f>
        <v>61</v>
      </c>
      <c r="M210" s="1" t="e">
        <f t="array" ref="M210:P212">LINEST($B192:$B199,$C192:$C199^{1,2,3},TRUE,TRUE)</f>
        <v>#VALUE!</v>
      </c>
      <c r="N210" s="1" t="e">
        <v>#VALUE!</v>
      </c>
      <c r="O210" s="1" t="e">
        <v>#VALUE!</v>
      </c>
      <c r="P210" s="1" t="e">
        <v>#VALUE!</v>
      </c>
      <c r="S210" s="1">
        <f t="shared" si="127"/>
        <v>4</v>
      </c>
      <c r="T210" s="1">
        <v>235</v>
      </c>
    </row>
    <row r="211" spans="1:20" x14ac:dyDescent="0.3">
      <c r="A211" s="1">
        <f t="shared" si="125"/>
        <v>4236</v>
      </c>
      <c r="B211" s="56"/>
      <c r="C211" s="56"/>
      <c r="D211" s="56"/>
      <c r="E211" s="56"/>
      <c r="F211" s="56"/>
      <c r="G211" s="56"/>
      <c r="H211" s="56"/>
      <c r="J211" s="1" t="str">
        <f t="shared" ref="J211" si="185">CONCATENATE(J209,"2")</f>
        <v>62</v>
      </c>
      <c r="M211" s="1" t="e">
        <v>#VALUE!</v>
      </c>
      <c r="N211" s="1" t="e">
        <v>#VALUE!</v>
      </c>
      <c r="O211" s="1" t="e">
        <v>#VALUE!</v>
      </c>
      <c r="P211" s="1" t="e">
        <v>#VALUE!</v>
      </c>
      <c r="S211" s="1">
        <f t="shared" si="127"/>
        <v>4</v>
      </c>
      <c r="T211" s="1">
        <v>236</v>
      </c>
    </row>
    <row r="212" spans="1:20" x14ac:dyDescent="0.3">
      <c r="A212" s="1">
        <f t="shared" si="125"/>
        <v>4237</v>
      </c>
      <c r="J212" s="1" t="str">
        <f t="shared" ref="J212" si="186">CONCATENATE(J209,"3")</f>
        <v>63</v>
      </c>
      <c r="M212" s="1" t="e">
        <v>#VALUE!</v>
      </c>
      <c r="N212" s="1" t="e">
        <v>#VALUE!</v>
      </c>
      <c r="O212" s="1" t="e">
        <v>#VALUE!</v>
      </c>
      <c r="P212" s="1" t="e">
        <v>#VALUE!</v>
      </c>
      <c r="S212" s="1">
        <f t="shared" si="127"/>
        <v>4</v>
      </c>
      <c r="T212" s="1">
        <v>237</v>
      </c>
    </row>
    <row r="213" spans="1:20" ht="15" customHeight="1" x14ac:dyDescent="0.3">
      <c r="A213" s="1">
        <f t="shared" si="125"/>
        <v>4238</v>
      </c>
      <c r="J213" s="1">
        <f t="shared" ref="J213" si="187">J209-1</f>
        <v>5</v>
      </c>
      <c r="M213" s="1" t="s">
        <v>2</v>
      </c>
      <c r="N213" s="1" t="s">
        <v>3</v>
      </c>
      <c r="O213" s="1" t="s">
        <v>4</v>
      </c>
      <c r="P213" s="1" t="s">
        <v>5</v>
      </c>
      <c r="S213" s="1">
        <f t="shared" si="127"/>
        <v>4</v>
      </c>
      <c r="T213" s="1">
        <v>238</v>
      </c>
    </row>
    <row r="214" spans="1:20" x14ac:dyDescent="0.3">
      <c r="A214" s="1">
        <f t="shared" si="125"/>
        <v>4239</v>
      </c>
      <c r="J214" s="1" t="str">
        <f t="shared" ref="J214" si="188">CONCATENATE(J213,"1")</f>
        <v>51</v>
      </c>
      <c r="M214" s="1">
        <f t="array" ref="M214:P216">LINEST($B192:$B198,$C192:$C198^{1,2,3},TRUE,TRUE)</f>
        <v>-5.7637750888708536E-10</v>
      </c>
      <c r="N214" s="1">
        <v>1.3503379454848327E-6</v>
      </c>
      <c r="O214" s="1">
        <v>0.99915590867238524</v>
      </c>
      <c r="P214" s="1">
        <v>-2.4334906636035436E-3</v>
      </c>
      <c r="S214" s="1">
        <f t="shared" si="127"/>
        <v>4</v>
      </c>
      <c r="T214" s="1">
        <v>239</v>
      </c>
    </row>
    <row r="215" spans="1:20" x14ac:dyDescent="0.3">
      <c r="A215" s="1">
        <f t="shared" si="125"/>
        <v>4240</v>
      </c>
      <c r="E215" s="26"/>
      <c r="F215" s="26"/>
      <c r="G215" s="26"/>
      <c r="H215" s="26"/>
      <c r="J215" s="1" t="str">
        <f t="shared" ref="J215" si="189">CONCATENATE(J213,"2")</f>
        <v>52</v>
      </c>
      <c r="M215" s="1">
        <v>5.2771653937883545E-10</v>
      </c>
      <c r="N215" s="1">
        <v>1.2688305330693217E-6</v>
      </c>
      <c r="O215" s="1">
        <v>9.8487388676462531E-4</v>
      </c>
      <c r="P215" s="1">
        <v>0.24587138431785108</v>
      </c>
      <c r="S215" s="1">
        <f t="shared" si="127"/>
        <v>4</v>
      </c>
      <c r="T215" s="1">
        <v>240</v>
      </c>
    </row>
    <row r="216" spans="1:20" x14ac:dyDescent="0.3">
      <c r="A216" s="1">
        <f t="shared" si="125"/>
        <v>4241</v>
      </c>
      <c r="B216" s="54" t="s">
        <v>90</v>
      </c>
      <c r="C216" s="54"/>
      <c r="D216" s="54"/>
      <c r="E216" s="27">
        <f t="shared" ref="E216" si="190">IF(D178="","",MAX(E217,E218))</f>
        <v>0.10450000000003001</v>
      </c>
      <c r="F216" s="26"/>
      <c r="G216" s="26"/>
      <c r="H216" s="26"/>
      <c r="J216" s="1" t="str">
        <f t="shared" ref="J216" si="191">CONCATENATE(J213,"3")</f>
        <v>53</v>
      </c>
      <c r="M216" s="1">
        <v>0.99999999934923711</v>
      </c>
      <c r="N216" s="1">
        <v>7.8008194168222361E-3</v>
      </c>
      <c r="O216" s="1" t="e">
        <v>#N/A</v>
      </c>
      <c r="P216" s="1" t="e">
        <v>#N/A</v>
      </c>
      <c r="S216" s="1">
        <f t="shared" si="127"/>
        <v>4</v>
      </c>
      <c r="T216" s="1">
        <v>241</v>
      </c>
    </row>
    <row r="217" spans="1:20" x14ac:dyDescent="0.3">
      <c r="A217" s="1">
        <f t="shared" si="125"/>
        <v>4242</v>
      </c>
      <c r="B217" s="2" t="s">
        <v>26</v>
      </c>
      <c r="C217" s="2" t="s">
        <v>27</v>
      </c>
      <c r="D217" s="2" t="s">
        <v>28</v>
      </c>
      <c r="E217" s="28">
        <f t="shared" ref="E217" si="192">ABS(MIN(D218:D232))</f>
        <v>0.10450000000003001</v>
      </c>
      <c r="F217" s="26"/>
      <c r="H217" s="26"/>
      <c r="J217" s="1">
        <f t="shared" ref="J217" si="193">J213-1</f>
        <v>4</v>
      </c>
      <c r="M217" s="1" t="s">
        <v>2</v>
      </c>
      <c r="N217" s="1" t="s">
        <v>3</v>
      </c>
      <c r="O217" s="1" t="s">
        <v>4</v>
      </c>
      <c r="P217" s="1" t="s">
        <v>5</v>
      </c>
      <c r="S217" s="1">
        <f t="shared" si="127"/>
        <v>4</v>
      </c>
      <c r="T217" s="1">
        <v>242</v>
      </c>
    </row>
    <row r="218" spans="1:20" x14ac:dyDescent="0.3">
      <c r="A218" s="1">
        <f t="shared" si="125"/>
        <v>4243</v>
      </c>
      <c r="B218" s="2">
        <f t="shared" ref="B218:B232" si="194">C192-B192</f>
        <v>0.15700000000003911</v>
      </c>
      <c r="C218" s="2">
        <f t="shared" ref="C218:C232" si="195">H192-G192</f>
        <v>5.6500000000028194E-2</v>
      </c>
      <c r="D218" s="2">
        <f t="shared" ref="D218:D232" si="196">C218-B218</f>
        <v>-0.10050000000001091</v>
      </c>
      <c r="E218" s="28">
        <f t="shared" ref="E218" si="197">ABS(MAX(D218:D232))</f>
        <v>0</v>
      </c>
      <c r="F218" s="26"/>
      <c r="H218" s="26"/>
      <c r="J218" s="1" t="str">
        <f t="shared" ref="J218" si="198">CONCATENATE(J217,"1")</f>
        <v>41</v>
      </c>
      <c r="M218" s="1">
        <f t="array" ref="M218:P220">LINEST($B192:$B197,$C192:$C197^{1,2,3},TRUE,TRUE)</f>
        <v>-2.518002898641193E-10</v>
      </c>
      <c r="N218" s="1">
        <v>6.4237164842665404E-7</v>
      </c>
      <c r="O218" s="1">
        <v>0.99965555179074883</v>
      </c>
      <c r="P218" s="1">
        <v>-0.11635859497570344</v>
      </c>
      <c r="S218" s="1">
        <f t="shared" si="127"/>
        <v>4</v>
      </c>
      <c r="T218" s="1">
        <v>243</v>
      </c>
    </row>
    <row r="219" spans="1:20" x14ac:dyDescent="0.3">
      <c r="A219" s="1">
        <f t="shared" si="125"/>
        <v>4244</v>
      </c>
      <c r="B219" s="2">
        <f t="shared" si="194"/>
        <v>0.1550000000000864</v>
      </c>
      <c r="C219" s="2">
        <f t="shared" si="195"/>
        <v>5.0500000000056389E-2</v>
      </c>
      <c r="D219" s="2">
        <f t="shared" si="196"/>
        <v>-0.10450000000003001</v>
      </c>
      <c r="E219" s="29" t="s">
        <v>32</v>
      </c>
      <c r="F219" s="26"/>
      <c r="H219" s="26"/>
      <c r="J219" s="1" t="str">
        <f t="shared" ref="J219" si="199">CONCATENATE(J217,"2")</f>
        <v>42</v>
      </c>
      <c r="M219" s="1">
        <v>1.1622555891744254E-9</v>
      </c>
      <c r="N219" s="1">
        <v>2.613795712060941E-6</v>
      </c>
      <c r="O219" s="1">
        <v>1.9083487794460364E-3</v>
      </c>
      <c r="P219" s="1">
        <v>0.45120527031230406</v>
      </c>
      <c r="S219" s="1">
        <f t="shared" si="127"/>
        <v>4</v>
      </c>
      <c r="T219" s="1">
        <v>244</v>
      </c>
    </row>
    <row r="220" spans="1:20" x14ac:dyDescent="0.3">
      <c r="A220" s="1">
        <f t="shared" si="125"/>
        <v>4245</v>
      </c>
      <c r="B220" s="2">
        <f t="shared" si="194"/>
        <v>0.1209999999999809</v>
      </c>
      <c r="C220" s="2">
        <f t="shared" si="195"/>
        <v>4.9499999999966349E-2</v>
      </c>
      <c r="D220" s="2">
        <f t="shared" si="196"/>
        <v>-7.1500000000014552E-2</v>
      </c>
      <c r="E220" s="27">
        <f t="shared" ref="E220" si="200">IF(D178="","",MAX(E221,E222))</f>
        <v>0.15700000000003911</v>
      </c>
      <c r="F220" s="26"/>
      <c r="H220" s="26"/>
      <c r="J220" s="1" t="str">
        <f t="shared" ref="J220" si="201">CONCATENATE(J217,"3")</f>
        <v>43</v>
      </c>
      <c r="M220" s="1">
        <v>0.99999999900949565</v>
      </c>
      <c r="N220" s="1">
        <v>9.3009357292138817E-3</v>
      </c>
      <c r="O220" s="1" t="e">
        <v>#N/A</v>
      </c>
      <c r="P220" s="1" t="e">
        <v>#N/A</v>
      </c>
      <c r="S220" s="1">
        <f t="shared" si="127"/>
        <v>4</v>
      </c>
      <c r="T220" s="1">
        <v>245</v>
      </c>
    </row>
    <row r="221" spans="1:20" x14ac:dyDescent="0.3">
      <c r="A221" s="1">
        <f t="shared" si="125"/>
        <v>4246</v>
      </c>
      <c r="B221" s="2">
        <f t="shared" si="194"/>
        <v>0.11000000000001364</v>
      </c>
      <c r="C221" s="2">
        <f t="shared" si="195"/>
        <v>5.6000000000040018E-2</v>
      </c>
      <c r="D221" s="2">
        <f t="shared" si="196"/>
        <v>-5.3999999999973625E-2</v>
      </c>
      <c r="E221" s="28">
        <f t="shared" ref="E221" si="202">ABS(MIN(B218:B232))</f>
        <v>0</v>
      </c>
      <c r="F221" s="26"/>
      <c r="H221" s="26"/>
      <c r="J221" s="1">
        <f t="shared" ref="J221" si="203">J217-1</f>
        <v>3</v>
      </c>
      <c r="M221" s="1" t="s">
        <v>2</v>
      </c>
      <c r="N221" s="1" t="s">
        <v>3</v>
      </c>
      <c r="O221" s="1" t="s">
        <v>4</v>
      </c>
      <c r="P221" s="1" t="s">
        <v>5</v>
      </c>
      <c r="S221" s="1">
        <f t="shared" si="127"/>
        <v>4</v>
      </c>
      <c r="T221" s="1">
        <v>246</v>
      </c>
    </row>
    <row r="222" spans="1:20" x14ac:dyDescent="0.3">
      <c r="A222" s="1">
        <f t="shared" si="125"/>
        <v>4247</v>
      </c>
      <c r="B222" s="2">
        <f t="shared" si="194"/>
        <v>9.3999999999937245E-2</v>
      </c>
      <c r="C222" s="2">
        <f t="shared" si="195"/>
        <v>4.7500000000013642E-2</v>
      </c>
      <c r="D222" s="2">
        <f t="shared" si="196"/>
        <v>-4.6499999999923602E-2</v>
      </c>
      <c r="E222" s="28">
        <f t="shared" ref="E222" si="204">ABS(MAX(B218:B232))</f>
        <v>0.15700000000003911</v>
      </c>
      <c r="F222" s="26"/>
      <c r="H222" s="26"/>
      <c r="J222" s="1" t="str">
        <f t="shared" ref="J222" si="205">CONCATENATE(J221,"1")</f>
        <v>31</v>
      </c>
      <c r="M222" s="1">
        <f t="array" ref="M222:P224">LINEST($B192:$B196,$C192:$C196^{1,2,3},TRUE,TRUE)</f>
        <v>-2.1905341015359585E-9</v>
      </c>
      <c r="N222" s="1">
        <v>4.6218322790740419E-6</v>
      </c>
      <c r="O222" s="1">
        <v>0.9969947265692316</v>
      </c>
      <c r="P222" s="1">
        <v>0.46272287828972192</v>
      </c>
      <c r="S222" s="1">
        <f t="shared" si="127"/>
        <v>4</v>
      </c>
      <c r="T222" s="1">
        <v>247</v>
      </c>
    </row>
    <row r="223" spans="1:20" x14ac:dyDescent="0.3">
      <c r="A223" s="1">
        <f t="shared" si="125"/>
        <v>4248</v>
      </c>
      <c r="B223" s="2">
        <f t="shared" si="194"/>
        <v>6.8999999999959982E-2</v>
      </c>
      <c r="C223" s="2">
        <f t="shared" si="195"/>
        <v>4.1500000000041837E-2</v>
      </c>
      <c r="D223" s="2">
        <f t="shared" si="196"/>
        <v>-2.7499999999918145E-2</v>
      </c>
      <c r="E223" s="29" t="s">
        <v>33</v>
      </c>
      <c r="F223" s="26"/>
      <c r="J223" s="1" t="str">
        <f t="shared" ref="J223" si="206">CONCATENATE(J221,"2")</f>
        <v>32</v>
      </c>
      <c r="M223" s="1">
        <v>2.691751730762627E-9</v>
      </c>
      <c r="N223" s="1">
        <v>5.6475100174098631E-6</v>
      </c>
      <c r="O223" s="1">
        <v>3.8682756280130214E-3</v>
      </c>
      <c r="P223" s="1">
        <v>0.86372172851683882</v>
      </c>
      <c r="S223" s="1">
        <f t="shared" si="127"/>
        <v>4</v>
      </c>
      <c r="T223" s="1">
        <v>248</v>
      </c>
    </row>
    <row r="224" spans="1:20" x14ac:dyDescent="0.3">
      <c r="A224" s="1">
        <f t="shared" si="125"/>
        <v>4249</v>
      </c>
      <c r="B224" s="2">
        <f t="shared" si="194"/>
        <v>6.500000000005457E-2</v>
      </c>
      <c r="C224" s="2">
        <f t="shared" si="195"/>
        <v>4.8000000000001819E-2</v>
      </c>
      <c r="D224" s="2">
        <f t="shared" si="196"/>
        <v>-1.7000000000052751E-2</v>
      </c>
      <c r="E224" s="27">
        <f t="shared" ref="E224" si="207">IF(D178="","",MAX(E225,E226))</f>
        <v>0.05</v>
      </c>
      <c r="F224" s="26"/>
      <c r="J224" s="1" t="str">
        <f t="shared" ref="J224" si="208">CONCATENATE(J221,"3")</f>
        <v>33</v>
      </c>
      <c r="M224" s="1">
        <v>0.99999999896345515</v>
      </c>
      <c r="N224" s="1">
        <v>1.0184278883131004E-2</v>
      </c>
      <c r="O224" s="1" t="e">
        <v>#N/A</v>
      </c>
      <c r="P224" s="1" t="e">
        <v>#N/A</v>
      </c>
      <c r="S224" s="1">
        <f t="shared" si="127"/>
        <v>4</v>
      </c>
      <c r="T224" s="1">
        <v>249</v>
      </c>
    </row>
    <row r="225" spans="1:20" x14ac:dyDescent="0.3">
      <c r="A225" s="1">
        <f t="shared" si="125"/>
        <v>4250</v>
      </c>
      <c r="B225" s="2">
        <f t="shared" si="194"/>
        <v>0</v>
      </c>
      <c r="C225" s="2">
        <f t="shared" si="195"/>
        <v>0</v>
      </c>
      <c r="D225" s="2">
        <f t="shared" si="196"/>
        <v>0</v>
      </c>
      <c r="E225" s="28">
        <f t="shared" ref="E225" si="209">ABS(MIN(D192:D206))</f>
        <v>0.05</v>
      </c>
      <c r="F225" s="26"/>
      <c r="J225" s="1">
        <f t="shared" ref="J225" si="210">J221-1</f>
        <v>2</v>
      </c>
      <c r="N225" s="1" t="s">
        <v>3</v>
      </c>
      <c r="O225" s="1" t="s">
        <v>4</v>
      </c>
      <c r="P225" s="1" t="s">
        <v>5</v>
      </c>
      <c r="S225" s="1">
        <f t="shared" si="127"/>
        <v>4</v>
      </c>
      <c r="T225" s="1">
        <v>250</v>
      </c>
    </row>
    <row r="226" spans="1:20" x14ac:dyDescent="0.3">
      <c r="A226" s="1">
        <f t="shared" si="125"/>
        <v>4251</v>
      </c>
      <c r="B226" s="2">
        <f t="shared" si="194"/>
        <v>0</v>
      </c>
      <c r="C226" s="2">
        <f t="shared" si="195"/>
        <v>0</v>
      </c>
      <c r="D226" s="2">
        <f t="shared" si="196"/>
        <v>0</v>
      </c>
      <c r="E226" s="28">
        <f t="shared" ref="E226" si="211">ABS(MAX(D192:D206))</f>
        <v>0.05</v>
      </c>
      <c r="F226" s="26"/>
      <c r="J226" s="1" t="str">
        <f t="shared" ref="J226" si="212">CONCATENATE(J225,"1")</f>
        <v>21</v>
      </c>
      <c r="N226" s="1">
        <f t="array" ref="N226:P228">LINEST($B192:$B195,$C192:$C195^{1,2},TRUE,TRUE)</f>
        <v>2.0539723537297656E-7</v>
      </c>
      <c r="O226" s="1">
        <v>0.99990818810365467</v>
      </c>
      <c r="P226" s="1">
        <v>-0.1651548730459676</v>
      </c>
      <c r="S226" s="1">
        <f t="shared" si="127"/>
        <v>4</v>
      </c>
      <c r="T226" s="1">
        <v>251</v>
      </c>
    </row>
    <row r="227" spans="1:20" x14ac:dyDescent="0.3">
      <c r="A227" s="1">
        <f t="shared" si="125"/>
        <v>4252</v>
      </c>
      <c r="B227" s="2">
        <f t="shared" si="194"/>
        <v>0</v>
      </c>
      <c r="C227" s="2">
        <f t="shared" si="195"/>
        <v>0</v>
      </c>
      <c r="D227" s="2">
        <f t="shared" si="196"/>
        <v>0</v>
      </c>
      <c r="E227" s="26"/>
      <c r="F227" s="26"/>
      <c r="J227" s="1" t="str">
        <f t="shared" ref="J227" si="213">CONCATENATE(J225,"2")</f>
        <v>22</v>
      </c>
      <c r="N227" s="1">
        <v>6.1992417036171091E-7</v>
      </c>
      <c r="O227" s="1">
        <v>8.0702461225697292E-4</v>
      </c>
      <c r="P227" s="1">
        <v>0.25628042928117523</v>
      </c>
      <c r="S227" s="1">
        <f t="shared" si="127"/>
        <v>4</v>
      </c>
      <c r="T227" s="1">
        <v>252</v>
      </c>
    </row>
    <row r="228" spans="1:20" x14ac:dyDescent="0.3">
      <c r="A228" s="1">
        <f t="shared" si="125"/>
        <v>4253</v>
      </c>
      <c r="B228" s="2">
        <f t="shared" si="194"/>
        <v>0</v>
      </c>
      <c r="C228" s="2">
        <f t="shared" si="195"/>
        <v>0</v>
      </c>
      <c r="D228" s="2">
        <f t="shared" si="196"/>
        <v>0</v>
      </c>
      <c r="E228" s="26"/>
      <c r="F228" s="26"/>
      <c r="J228" s="1" t="str">
        <f t="shared" ref="J228" si="214">CONCATENATE(J225,"3")</f>
        <v>23</v>
      </c>
      <c r="N228" s="1">
        <v>0.99999999689886709</v>
      </c>
      <c r="O228" s="1">
        <v>1.2455915825830388E-2</v>
      </c>
      <c r="P228" s="1" t="e">
        <v>#N/A</v>
      </c>
      <c r="S228" s="1">
        <f t="shared" si="127"/>
        <v>4</v>
      </c>
      <c r="T228" s="1">
        <v>253</v>
      </c>
    </row>
    <row r="229" spans="1:20" x14ac:dyDescent="0.3">
      <c r="A229" s="1">
        <f t="shared" si="125"/>
        <v>4254</v>
      </c>
      <c r="B229" s="2">
        <f t="shared" si="194"/>
        <v>0</v>
      </c>
      <c r="C229" s="2">
        <f t="shared" si="195"/>
        <v>0</v>
      </c>
      <c r="D229" s="2">
        <f t="shared" si="196"/>
        <v>0</v>
      </c>
      <c r="E229" s="26"/>
      <c r="F229" s="26"/>
      <c r="J229" s="1">
        <f t="shared" ref="J229" si="215">J225-1</f>
        <v>1</v>
      </c>
      <c r="O229" s="1" t="s">
        <v>4</v>
      </c>
      <c r="P229" s="1" t="s">
        <v>5</v>
      </c>
      <c r="S229" s="1">
        <f t="shared" si="127"/>
        <v>4</v>
      </c>
      <c r="T229" s="1">
        <v>254</v>
      </c>
    </row>
    <row r="230" spans="1:20" x14ac:dyDescent="0.3">
      <c r="A230" s="1">
        <f t="shared" si="125"/>
        <v>4255</v>
      </c>
      <c r="B230" s="2">
        <f t="shared" si="194"/>
        <v>0</v>
      </c>
      <c r="C230" s="2">
        <f t="shared" si="195"/>
        <v>0</v>
      </c>
      <c r="D230" s="2">
        <f t="shared" si="196"/>
        <v>0</v>
      </c>
      <c r="E230" s="26"/>
      <c r="F230" s="26"/>
      <c r="J230" s="1" t="str">
        <f t="shared" ref="J230" si="216">CONCATENATE(J229,"1")</f>
        <v>11</v>
      </c>
      <c r="O230" s="1">
        <f t="array" ref="O230:P232">LINEST($B192:$B194,$C192:$C194^{1},TRUE,TRUE)</f>
        <v>1.0001815570146886</v>
      </c>
      <c r="P230" s="1">
        <v>-0.25293771356984962</v>
      </c>
      <c r="S230" s="1">
        <f t="shared" si="127"/>
        <v>4</v>
      </c>
      <c r="T230" s="1">
        <v>255</v>
      </c>
    </row>
    <row r="231" spans="1:20" x14ac:dyDescent="0.3">
      <c r="A231" s="1">
        <f t="shared" si="125"/>
        <v>4256</v>
      </c>
      <c r="B231" s="2">
        <f t="shared" si="194"/>
        <v>0</v>
      </c>
      <c r="C231" s="2">
        <f t="shared" si="195"/>
        <v>0</v>
      </c>
      <c r="D231" s="2">
        <f t="shared" si="196"/>
        <v>0</v>
      </c>
      <c r="E231" s="26"/>
      <c r="F231" s="26"/>
      <c r="J231" s="1" t="str">
        <f t="shared" ref="J231" si="217">CONCATENATE(J229,"2")</f>
        <v>12</v>
      </c>
      <c r="O231" s="1">
        <v>9.3208502112071545E-5</v>
      </c>
      <c r="P231" s="1">
        <v>5.6263907945111713E-2</v>
      </c>
      <c r="S231" s="1">
        <f t="shared" si="127"/>
        <v>4</v>
      </c>
      <c r="T231" s="1">
        <v>256</v>
      </c>
    </row>
    <row r="232" spans="1:20" x14ac:dyDescent="0.3">
      <c r="A232" s="1">
        <f t="shared" si="125"/>
        <v>4257</v>
      </c>
      <c r="B232" s="2">
        <f t="shared" si="194"/>
        <v>0</v>
      </c>
      <c r="C232" s="2">
        <f t="shared" si="195"/>
        <v>0</v>
      </c>
      <c r="D232" s="2">
        <f t="shared" si="196"/>
        <v>0</v>
      </c>
      <c r="E232" s="30"/>
      <c r="F232" s="30"/>
      <c r="J232" s="1" t="str">
        <f t="shared" ref="J232" si="218">CONCATENATE(J229,"3")</f>
        <v>13</v>
      </c>
      <c r="O232" s="1">
        <v>0.99999999131532913</v>
      </c>
      <c r="P232" s="1">
        <v>1.3067651450484163E-2</v>
      </c>
      <c r="S232" s="1">
        <f t="shared" si="127"/>
        <v>4</v>
      </c>
      <c r="T232" s="1">
        <v>257</v>
      </c>
    </row>
    <row r="233" spans="1:20" s="8" customFormat="1" x14ac:dyDescent="0.3"/>
    <row r="234" spans="1:20" x14ac:dyDescent="0.3">
      <c r="A234" s="1">
        <f t="shared" ref="A234:A290" si="219">ROUND(CONCATENATE(S234,T234),0)</f>
        <v>5201</v>
      </c>
      <c r="B234" s="57" t="s">
        <v>0</v>
      </c>
      <c r="C234" s="57"/>
      <c r="D234" s="56" t="s">
        <v>46</v>
      </c>
      <c r="E234" s="56"/>
      <c r="F234" s="56"/>
      <c r="G234" s="56"/>
      <c r="H234" s="56"/>
      <c r="L234" s="1">
        <v>1</v>
      </c>
      <c r="M234" s="1">
        <v>2</v>
      </c>
      <c r="N234" s="1">
        <v>3</v>
      </c>
      <c r="O234" s="1">
        <v>4</v>
      </c>
      <c r="P234" s="1">
        <v>5</v>
      </c>
      <c r="Q234" s="1">
        <v>6</v>
      </c>
      <c r="R234" s="1">
        <v>7</v>
      </c>
      <c r="S234" s="1">
        <f t="shared" ref="S234" si="220">S232+1</f>
        <v>5</v>
      </c>
      <c r="T234" s="1">
        <v>201</v>
      </c>
    </row>
    <row r="235" spans="1:20" x14ac:dyDescent="0.3">
      <c r="A235" s="1">
        <f t="shared" si="219"/>
        <v>5202</v>
      </c>
      <c r="B235" s="57"/>
      <c r="C235" s="57"/>
      <c r="D235" s="57"/>
      <c r="E235" s="57"/>
      <c r="F235" s="57"/>
      <c r="G235" s="57"/>
      <c r="H235" s="57"/>
      <c r="K235" s="2" t="s">
        <v>1</v>
      </c>
      <c r="L235" s="2"/>
      <c r="M235" s="2" t="s">
        <v>2</v>
      </c>
      <c r="N235" s="2" t="s">
        <v>3</v>
      </c>
      <c r="O235" s="2" t="s">
        <v>4</v>
      </c>
      <c r="P235" s="2" t="s">
        <v>5</v>
      </c>
      <c r="S235" s="1">
        <f t="shared" ref="S235" si="221">S234</f>
        <v>5</v>
      </c>
      <c r="T235" s="1">
        <v>202</v>
      </c>
    </row>
    <row r="236" spans="1:20" x14ac:dyDescent="0.3">
      <c r="A236" s="1">
        <f t="shared" si="219"/>
        <v>5203</v>
      </c>
      <c r="B236" s="64" t="s">
        <v>6</v>
      </c>
      <c r="C236" s="64"/>
      <c r="D236" s="56" t="s">
        <v>120</v>
      </c>
      <c r="E236" s="56"/>
      <c r="F236" s="56"/>
      <c r="G236" s="56"/>
      <c r="H236" s="56"/>
      <c r="K236" s="3">
        <f t="shared" ref="K236" si="222">IF(K238&gt;=3,N238,LOOKUP(15-($B265+1),M234:R234,M238:P238))</f>
        <v>7.1520873773438978E-2</v>
      </c>
      <c r="L236" s="2" t="str">
        <f t="shared" ref="L236" si="223">CONCATENATE($B265,"1")</f>
        <v>111</v>
      </c>
      <c r="M236" s="2">
        <f t="shared" ref="M236" si="224">VLOOKUP(L236,J239:P290,O234,FALSE)</f>
        <v>-5.766069411478351E-9</v>
      </c>
      <c r="N236" s="2">
        <f t="shared" ref="N236" si="225">VLOOKUP(L236,J239:P290,P234,FALSE)</f>
        <v>1.4816257133856974E-5</v>
      </c>
      <c r="O236" s="2">
        <f t="shared" ref="O236" si="226">VLOOKUP(L236,J239:P290,Q234,FALSE)</f>
        <v>0.98712395388569296</v>
      </c>
      <c r="P236" s="2">
        <f t="shared" ref="P236" si="227">VLOOKUP(L236,J239:P290,R234,FALSE)</f>
        <v>1.868799295868004</v>
      </c>
      <c r="S236" s="1">
        <f t="shared" si="127"/>
        <v>5</v>
      </c>
      <c r="T236" s="1">
        <v>203</v>
      </c>
    </row>
    <row r="237" spans="1:20" x14ac:dyDescent="0.3">
      <c r="A237" s="1">
        <f t="shared" si="219"/>
        <v>5204</v>
      </c>
      <c r="B237" s="57" t="s">
        <v>7</v>
      </c>
      <c r="C237" s="57"/>
      <c r="D237" s="56" t="s">
        <v>92</v>
      </c>
      <c r="E237" s="56"/>
      <c r="F237" s="56"/>
      <c r="G237" s="56"/>
      <c r="H237" s="56"/>
      <c r="K237" s="2" t="s">
        <v>8</v>
      </c>
      <c r="L237" s="2" t="str">
        <f t="shared" ref="L237" si="228">CONCATENATE($B265,"2")</f>
        <v>112</v>
      </c>
      <c r="M237" s="2">
        <f t="shared" ref="M237" si="229">VLOOKUP(L237,J239:P290,O234,FALSE)</f>
        <v>4.0729084283104038E-9</v>
      </c>
      <c r="N237" s="2">
        <f t="shared" ref="N237" si="230">VLOOKUP(L237,J239:P290,P234,FALSE)</f>
        <v>9.8101993695477256E-6</v>
      </c>
      <c r="O237" s="2">
        <f t="shared" ref="O237" si="231">VLOOKUP(L237,J239:P290,Q234,FALSE)</f>
        <v>7.6612877355030804E-3</v>
      </c>
      <c r="P237" s="2">
        <f t="shared" ref="P237" si="232">VLOOKUP(L237,J239:P290,R234,FALSE)</f>
        <v>1.9346073821495569</v>
      </c>
      <c r="S237" s="1">
        <f t="shared" si="127"/>
        <v>5</v>
      </c>
      <c r="T237" s="1">
        <v>204</v>
      </c>
    </row>
    <row r="238" spans="1:20" x14ac:dyDescent="0.3">
      <c r="A238" s="1">
        <f t="shared" si="219"/>
        <v>5205</v>
      </c>
      <c r="B238" s="57" t="s">
        <v>9</v>
      </c>
      <c r="C238" s="57"/>
      <c r="D238" s="56" t="s">
        <v>91</v>
      </c>
      <c r="E238" s="56"/>
      <c r="F238" s="56"/>
      <c r="G238" s="56"/>
      <c r="H238" s="56"/>
      <c r="K238" s="3">
        <f t="shared" ref="K238" si="233">IF(B265&gt;3,3,B265)</f>
        <v>3</v>
      </c>
      <c r="L238" s="2" t="str">
        <f t="shared" ref="L238" si="234">CONCATENATE($B265,"3")</f>
        <v>113</v>
      </c>
      <c r="M238" s="2">
        <f t="shared" ref="M238" si="235">VLOOKUP(L238,J239:P290,O234,FALSE)</f>
        <v>0.9999998981640642</v>
      </c>
      <c r="N238" s="2">
        <f t="shared" ref="N238" si="236">VLOOKUP(L238,J239:P290,P234,FALSE)</f>
        <v>7.1520873773438978E-2</v>
      </c>
      <c r="O238" s="2" t="e">
        <f t="shared" ref="O238" si="237">VLOOKUP(L238,J239:P290,Q234,FALSE)</f>
        <v>#N/A</v>
      </c>
      <c r="P238" s="2" t="e">
        <f t="shared" ref="P238" si="238">VLOOKUP(L238,J239:P290,R234,FALSE)</f>
        <v>#N/A</v>
      </c>
      <c r="S238" s="1">
        <f t="shared" si="127"/>
        <v>5</v>
      </c>
      <c r="T238" s="1">
        <v>205</v>
      </c>
    </row>
    <row r="239" spans="1:20" x14ac:dyDescent="0.3">
      <c r="A239" s="1">
        <f t="shared" si="219"/>
        <v>5206</v>
      </c>
      <c r="B239" s="57" t="s">
        <v>10</v>
      </c>
      <c r="C239" s="57"/>
      <c r="D239" s="62" t="s">
        <v>164</v>
      </c>
      <c r="E239" s="56"/>
      <c r="F239" s="56"/>
      <c r="G239" s="56"/>
      <c r="H239" s="56"/>
      <c r="J239" s="1">
        <v>13</v>
      </c>
      <c r="M239" s="1" t="s">
        <v>2</v>
      </c>
      <c r="N239" s="1" t="s">
        <v>3</v>
      </c>
      <c r="O239" s="1" t="s">
        <v>4</v>
      </c>
      <c r="P239" s="1" t="s">
        <v>5</v>
      </c>
      <c r="S239" s="1">
        <f t="shared" si="127"/>
        <v>5</v>
      </c>
      <c r="T239" s="1">
        <v>206</v>
      </c>
    </row>
    <row r="240" spans="1:20" x14ac:dyDescent="0.3">
      <c r="A240" s="1">
        <f t="shared" si="219"/>
        <v>5207</v>
      </c>
      <c r="B240" s="57" t="s">
        <v>11</v>
      </c>
      <c r="C240" s="57"/>
      <c r="D240" s="63">
        <v>46055</v>
      </c>
      <c r="E240" s="63"/>
      <c r="F240" s="63"/>
      <c r="G240" s="63"/>
      <c r="H240" s="63"/>
      <c r="J240" s="1" t="str">
        <f t="shared" ref="J240" si="239">CONCATENATE(J239,"1")</f>
        <v>131</v>
      </c>
      <c r="M240" s="1" t="e">
        <f t="array" ref="M240:P242">LINEST($B250:$B264,$C250:$C264^{1,2,3},TRUE,TRUE)</f>
        <v>#VALUE!</v>
      </c>
      <c r="N240" s="1" t="e">
        <v>#VALUE!</v>
      </c>
      <c r="O240" s="1" t="e">
        <v>#VALUE!</v>
      </c>
      <c r="P240" s="1" t="e">
        <v>#VALUE!</v>
      </c>
      <c r="S240" s="1">
        <f t="shared" si="127"/>
        <v>5</v>
      </c>
      <c r="T240" s="1">
        <v>207</v>
      </c>
    </row>
    <row r="241" spans="1:20" x14ac:dyDescent="0.3">
      <c r="A241" s="1">
        <f t="shared" si="219"/>
        <v>5208</v>
      </c>
      <c r="B241" s="57" t="s">
        <v>12</v>
      </c>
      <c r="C241" s="57"/>
      <c r="D241" s="58">
        <v>46446</v>
      </c>
      <c r="E241" s="58"/>
      <c r="F241" s="58"/>
      <c r="G241" s="58"/>
      <c r="H241" s="58"/>
      <c r="J241" s="1" t="str">
        <f t="shared" ref="J241" si="240">CONCATENATE(J239,"2")</f>
        <v>132</v>
      </c>
      <c r="M241" s="1" t="e">
        <v>#VALUE!</v>
      </c>
      <c r="N241" s="1" t="e">
        <v>#VALUE!</v>
      </c>
      <c r="O241" s="1" t="e">
        <v>#VALUE!</v>
      </c>
      <c r="P241" s="1" t="e">
        <v>#VALUE!</v>
      </c>
      <c r="S241" s="1">
        <f t="shared" ref="S241:S304" si="241">S240</f>
        <v>5</v>
      </c>
      <c r="T241" s="1">
        <v>208</v>
      </c>
    </row>
    <row r="242" spans="1:20" x14ac:dyDescent="0.3">
      <c r="A242" s="1">
        <f t="shared" si="219"/>
        <v>5209</v>
      </c>
      <c r="B242" s="57" t="s">
        <v>13</v>
      </c>
      <c r="C242" s="57"/>
      <c r="D242" s="9">
        <v>0.1</v>
      </c>
      <c r="E242" s="54" t="s">
        <v>14</v>
      </c>
      <c r="F242" s="54"/>
      <c r="G242" s="54"/>
      <c r="H242" s="9" t="s">
        <v>59</v>
      </c>
      <c r="J242" s="1" t="str">
        <f t="shared" ref="J242" si="242">CONCATENATE(J239,"3")</f>
        <v>133</v>
      </c>
      <c r="M242" s="1" t="e">
        <v>#VALUE!</v>
      </c>
      <c r="N242" s="1" t="e">
        <v>#VALUE!</v>
      </c>
      <c r="O242" s="1" t="e">
        <v>#VALUE!</v>
      </c>
      <c r="P242" s="1" t="e">
        <v>#VALUE!</v>
      </c>
      <c r="S242" s="1">
        <f t="shared" si="241"/>
        <v>5</v>
      </c>
      <c r="T242" s="1">
        <v>209</v>
      </c>
    </row>
    <row r="243" spans="1:20" x14ac:dyDescent="0.3">
      <c r="A243" s="1">
        <f t="shared" si="219"/>
        <v>5210</v>
      </c>
      <c r="B243" s="57" t="s">
        <v>15</v>
      </c>
      <c r="C243" s="57"/>
      <c r="D243" s="2">
        <f>MIN(B250:B264)</f>
        <v>501.5</v>
      </c>
      <c r="E243" s="4" t="s">
        <v>16</v>
      </c>
      <c r="F243" s="2">
        <f>MAX(B250:B264)</f>
        <v>1097</v>
      </c>
      <c r="G243" s="5" t="str">
        <f>IF(H242="","",H242)</f>
        <v>hPa</v>
      </c>
      <c r="H243" s="23"/>
      <c r="J243" s="1">
        <f t="shared" ref="J243" si="243">J239-1</f>
        <v>12</v>
      </c>
      <c r="M243" s="1" t="s">
        <v>2</v>
      </c>
      <c r="N243" s="1" t="s">
        <v>3</v>
      </c>
      <c r="O243" s="1" t="s">
        <v>4</v>
      </c>
      <c r="P243" s="1" t="s">
        <v>5</v>
      </c>
      <c r="S243" s="1">
        <f t="shared" si="241"/>
        <v>5</v>
      </c>
      <c r="T243" s="1">
        <v>210</v>
      </c>
    </row>
    <row r="244" spans="1:20" x14ac:dyDescent="0.3">
      <c r="A244" s="1">
        <f t="shared" si="219"/>
        <v>5211</v>
      </c>
      <c r="J244" s="1" t="str">
        <f t="shared" ref="J244" si="244">CONCATENATE(J243,"1")</f>
        <v>121</v>
      </c>
      <c r="M244" s="1" t="e">
        <f t="array" ref="M244:P246">LINEST($B250:$B263,$C250:$C263^{1,2,3},TRUE,TRUE)</f>
        <v>#VALUE!</v>
      </c>
      <c r="N244" s="1" t="e">
        <v>#VALUE!</v>
      </c>
      <c r="O244" s="1" t="e">
        <v>#VALUE!</v>
      </c>
      <c r="P244" s="1" t="e">
        <v>#VALUE!</v>
      </c>
      <c r="S244" s="1">
        <f t="shared" si="241"/>
        <v>5</v>
      </c>
      <c r="T244" s="1">
        <v>211</v>
      </c>
    </row>
    <row r="245" spans="1:20" x14ac:dyDescent="0.3">
      <c r="A245" s="1">
        <f t="shared" si="219"/>
        <v>5212</v>
      </c>
      <c r="B245" s="59" t="s">
        <v>17</v>
      </c>
      <c r="C245" s="59"/>
      <c r="D245" s="59"/>
      <c r="E245" s="59"/>
      <c r="F245" s="59"/>
      <c r="G245" s="60" t="s">
        <v>29</v>
      </c>
      <c r="H245" s="61"/>
      <c r="J245" s="1" t="str">
        <f t="shared" ref="J245" si="245">CONCATENATE(J243,"2")</f>
        <v>122</v>
      </c>
      <c r="M245" s="1" t="e">
        <v>#VALUE!</v>
      </c>
      <c r="N245" s="1" t="e">
        <v>#VALUE!</v>
      </c>
      <c r="O245" s="1" t="e">
        <v>#VALUE!</v>
      </c>
      <c r="P245" s="1" t="e">
        <v>#VALUE!</v>
      </c>
      <c r="S245" s="1">
        <f t="shared" si="241"/>
        <v>5</v>
      </c>
      <c r="T245" s="1">
        <v>212</v>
      </c>
    </row>
    <row r="246" spans="1:20" x14ac:dyDescent="0.3">
      <c r="A246" s="1">
        <f t="shared" si="219"/>
        <v>5213</v>
      </c>
      <c r="B246" s="54" t="s">
        <v>18</v>
      </c>
      <c r="C246" s="54"/>
      <c r="D246" s="54"/>
      <c r="E246" s="54" t="str">
        <f>IF(D239="","",D239)</f>
        <v>E0047/26</v>
      </c>
      <c r="F246" s="54"/>
      <c r="G246" s="5" t="s">
        <v>18</v>
      </c>
      <c r="H246" s="20" t="s">
        <v>121</v>
      </c>
      <c r="J246" s="1" t="str">
        <f t="shared" ref="J246" si="246">CONCATENATE(J243,"3")</f>
        <v>123</v>
      </c>
      <c r="M246" s="1" t="e">
        <v>#VALUE!</v>
      </c>
      <c r="N246" s="1" t="e">
        <v>#VALUE!</v>
      </c>
      <c r="O246" s="1" t="e">
        <v>#VALUE!</v>
      </c>
      <c r="P246" s="1" t="e">
        <v>#VALUE!</v>
      </c>
      <c r="S246" s="1">
        <f t="shared" si="241"/>
        <v>5</v>
      </c>
      <c r="T246" s="1">
        <v>213</v>
      </c>
    </row>
    <row r="247" spans="1:20" ht="15" customHeight="1" x14ac:dyDescent="0.3">
      <c r="A247" s="1">
        <f t="shared" si="219"/>
        <v>5214</v>
      </c>
      <c r="B247" s="6" t="s">
        <v>19</v>
      </c>
      <c r="C247" s="6" t="s">
        <v>20</v>
      </c>
      <c r="D247" s="6" t="s">
        <v>21</v>
      </c>
      <c r="E247" s="6"/>
      <c r="F247" s="55" t="s">
        <v>31</v>
      </c>
      <c r="G247" s="6" t="s">
        <v>19</v>
      </c>
      <c r="H247" s="6" t="s">
        <v>20</v>
      </c>
      <c r="J247" s="1">
        <f t="shared" ref="J247" si="247">J243-1</f>
        <v>11</v>
      </c>
      <c r="M247" s="1" t="s">
        <v>2</v>
      </c>
      <c r="N247" s="1" t="s">
        <v>3</v>
      </c>
      <c r="O247" s="1" t="s">
        <v>4</v>
      </c>
      <c r="P247" s="1" t="s">
        <v>5</v>
      </c>
      <c r="S247" s="1">
        <f t="shared" si="241"/>
        <v>5</v>
      </c>
      <c r="T247" s="1">
        <v>214</v>
      </c>
    </row>
    <row r="248" spans="1:20" ht="15" customHeight="1" x14ac:dyDescent="0.3">
      <c r="A248" s="1">
        <f t="shared" si="219"/>
        <v>5215</v>
      </c>
      <c r="B248" s="6" t="s">
        <v>22</v>
      </c>
      <c r="C248" s="6" t="s">
        <v>23</v>
      </c>
      <c r="D248" s="6" t="s">
        <v>24</v>
      </c>
      <c r="E248" s="6" t="s">
        <v>30</v>
      </c>
      <c r="F248" s="55"/>
      <c r="G248" s="6" t="s">
        <v>22</v>
      </c>
      <c r="H248" s="6" t="s">
        <v>23</v>
      </c>
      <c r="J248" s="1" t="str">
        <f t="shared" ref="J248" si="248">CONCATENATE(J247,"1")</f>
        <v>111</v>
      </c>
      <c r="M248" s="1">
        <f t="array" ref="M248:P250">LINEST($B250:$B262,$C250:$C262^{1,2,3},TRUE,TRUE)</f>
        <v>-5.766069411478351E-9</v>
      </c>
      <c r="N248" s="1">
        <v>1.4816257133856974E-5</v>
      </c>
      <c r="O248" s="1">
        <v>0.98712395388569296</v>
      </c>
      <c r="P248" s="1">
        <v>1.868799295868004</v>
      </c>
      <c r="S248" s="1">
        <f t="shared" si="241"/>
        <v>5</v>
      </c>
      <c r="T248" s="1">
        <v>215</v>
      </c>
    </row>
    <row r="249" spans="1:20" x14ac:dyDescent="0.3">
      <c r="A249" s="1">
        <f t="shared" si="219"/>
        <v>5216</v>
      </c>
      <c r="B249" s="7" t="str">
        <f>IF(H242="","",H242)</f>
        <v>hPa</v>
      </c>
      <c r="C249" s="7" t="str">
        <f>IF(H242="","",H242)</f>
        <v>hPa</v>
      </c>
      <c r="D249" s="7" t="str">
        <f>IF(H242="","",H242)</f>
        <v>hPa</v>
      </c>
      <c r="E249" s="7"/>
      <c r="F249" s="7" t="str">
        <f>IF(I242="","",I242)</f>
        <v/>
      </c>
      <c r="G249" s="7" t="str">
        <f>IF(H242="","",H242)</f>
        <v>hPa</v>
      </c>
      <c r="H249" s="7" t="str">
        <f>IF(H242="","",H242)</f>
        <v>hPa</v>
      </c>
      <c r="J249" s="1" t="str">
        <f t="shared" ref="J249" si="249">CONCATENATE(J247,"2")</f>
        <v>112</v>
      </c>
      <c r="M249" s="1">
        <v>4.0729084283104038E-9</v>
      </c>
      <c r="N249" s="1">
        <v>9.8101993695477256E-6</v>
      </c>
      <c r="O249" s="1">
        <v>7.6612877355030804E-3</v>
      </c>
      <c r="P249" s="1">
        <v>1.9346073821495569</v>
      </c>
      <c r="S249" s="1">
        <f t="shared" si="241"/>
        <v>5</v>
      </c>
      <c r="T249" s="1">
        <v>216</v>
      </c>
    </row>
    <row r="250" spans="1:20" x14ac:dyDescent="0.3">
      <c r="A250" s="1">
        <f t="shared" si="219"/>
        <v>5217</v>
      </c>
      <c r="B250" s="24">
        <v>501.5</v>
      </c>
      <c r="C250" s="24">
        <v>503</v>
      </c>
      <c r="D250" s="21">
        <v>0.2</v>
      </c>
      <c r="E250" s="24">
        <v>2</v>
      </c>
      <c r="F250" s="24">
        <v>1000000</v>
      </c>
      <c r="G250" s="25">
        <v>500.9</v>
      </c>
      <c r="H250" s="25">
        <v>501.9</v>
      </c>
      <c r="J250" s="1" t="str">
        <f t="shared" ref="J250" si="250">CONCATENATE(J247,"3")</f>
        <v>113</v>
      </c>
      <c r="M250" s="1">
        <v>0.9999998981640642</v>
      </c>
      <c r="N250" s="1">
        <v>7.1520873773438978E-2</v>
      </c>
      <c r="O250" s="1" t="e">
        <v>#N/A</v>
      </c>
      <c r="P250" s="1" t="e">
        <v>#N/A</v>
      </c>
      <c r="S250" s="1">
        <f t="shared" si="241"/>
        <v>5</v>
      </c>
      <c r="T250" s="1">
        <v>217</v>
      </c>
    </row>
    <row r="251" spans="1:20" x14ac:dyDescent="0.3">
      <c r="A251" s="1">
        <f t="shared" si="219"/>
        <v>5218</v>
      </c>
      <c r="B251" s="24">
        <v>550.20000000000005</v>
      </c>
      <c r="C251" s="24">
        <v>552</v>
      </c>
      <c r="D251" s="21">
        <v>0.2</v>
      </c>
      <c r="E251" s="24">
        <v>2</v>
      </c>
      <c r="F251" s="24">
        <v>1000000</v>
      </c>
      <c r="G251" s="25">
        <v>549.79999999999995</v>
      </c>
      <c r="H251" s="25">
        <v>551.1</v>
      </c>
      <c r="J251" s="1">
        <f t="shared" ref="J251" si="251">J247-1</f>
        <v>10</v>
      </c>
      <c r="M251" s="1" t="s">
        <v>2</v>
      </c>
      <c r="N251" s="1" t="s">
        <v>3</v>
      </c>
      <c r="O251" s="1" t="s">
        <v>4</v>
      </c>
      <c r="P251" s="1" t="s">
        <v>5</v>
      </c>
      <c r="S251" s="1">
        <f t="shared" si="241"/>
        <v>5</v>
      </c>
      <c r="T251" s="1">
        <v>218</v>
      </c>
    </row>
    <row r="252" spans="1:20" x14ac:dyDescent="0.3">
      <c r="A252" s="1">
        <f t="shared" si="219"/>
        <v>5219</v>
      </c>
      <c r="B252" s="24">
        <v>600.20000000000005</v>
      </c>
      <c r="C252" s="24">
        <v>602</v>
      </c>
      <c r="D252" s="21">
        <v>0.2</v>
      </c>
      <c r="E252" s="24">
        <v>2</v>
      </c>
      <c r="F252" s="24">
        <v>1000000</v>
      </c>
      <c r="G252" s="25">
        <v>599.9</v>
      </c>
      <c r="H252" s="25">
        <v>601.20000000000005</v>
      </c>
      <c r="J252" s="1" t="str">
        <f t="shared" ref="J252" si="252">CONCATENATE(J251,"1")</f>
        <v>101</v>
      </c>
      <c r="M252" s="1">
        <f t="array" ref="M252:P254">LINEST($B250:$B261,$C250:$C261^{1,2,3},TRUE,TRUE)</f>
        <v>-9.447773004560083E-9</v>
      </c>
      <c r="N252" s="1">
        <v>2.3042029045363866E-5</v>
      </c>
      <c r="O252" s="1">
        <v>0.98116796599442957</v>
      </c>
      <c r="P252" s="1">
        <v>3.264812214137125</v>
      </c>
      <c r="S252" s="1">
        <f t="shared" si="241"/>
        <v>5</v>
      </c>
      <c r="T252" s="1">
        <v>219</v>
      </c>
    </row>
    <row r="253" spans="1:20" x14ac:dyDescent="0.3">
      <c r="A253" s="1">
        <f t="shared" si="219"/>
        <v>5220</v>
      </c>
      <c r="B253" s="24">
        <v>650.1</v>
      </c>
      <c r="C253" s="24">
        <v>652</v>
      </c>
      <c r="D253" s="21">
        <v>0.2</v>
      </c>
      <c r="E253" s="24">
        <v>2</v>
      </c>
      <c r="F253" s="24">
        <v>1000000</v>
      </c>
      <c r="G253" s="25">
        <v>649.9</v>
      </c>
      <c r="H253" s="25">
        <v>651.29999999999995</v>
      </c>
      <c r="J253" s="1" t="str">
        <f t="shared" ref="J253" si="253">CONCATENATE(J251,"2")</f>
        <v>102</v>
      </c>
      <c r="M253" s="1">
        <v>5.3048884888787157E-9</v>
      </c>
      <c r="N253" s="1">
        <v>1.2397408501781977E-5</v>
      </c>
      <c r="O253" s="1">
        <v>9.4172888918715551E-3</v>
      </c>
      <c r="P253" s="1">
        <v>2.3199081003248363</v>
      </c>
      <c r="S253" s="1">
        <f t="shared" si="241"/>
        <v>5</v>
      </c>
      <c r="T253" s="1">
        <v>220</v>
      </c>
    </row>
    <row r="254" spans="1:20" x14ac:dyDescent="0.3">
      <c r="A254" s="1">
        <f t="shared" si="219"/>
        <v>5221</v>
      </c>
      <c r="B254" s="24">
        <v>700.2</v>
      </c>
      <c r="C254" s="24">
        <v>702</v>
      </c>
      <c r="D254" s="21">
        <v>0.2</v>
      </c>
      <c r="E254" s="24">
        <v>2</v>
      </c>
      <c r="F254" s="24">
        <v>1000000</v>
      </c>
      <c r="G254" s="25">
        <v>699.9</v>
      </c>
      <c r="H254" s="25">
        <v>701.3</v>
      </c>
      <c r="J254" s="1" t="str">
        <f t="shared" ref="J254" si="254">CONCATENATE(J251,"3")</f>
        <v>103</v>
      </c>
      <c r="M254" s="1">
        <v>0.99999988705368481</v>
      </c>
      <c r="N254" s="1">
        <v>7.0944524771107409E-2</v>
      </c>
      <c r="O254" s="1" t="e">
        <v>#N/A</v>
      </c>
      <c r="P254" s="1" t="e">
        <v>#N/A</v>
      </c>
      <c r="S254" s="1">
        <f t="shared" si="241"/>
        <v>5</v>
      </c>
      <c r="T254" s="1">
        <v>221</v>
      </c>
    </row>
    <row r="255" spans="1:20" x14ac:dyDescent="0.3">
      <c r="A255" s="1">
        <f t="shared" si="219"/>
        <v>5222</v>
      </c>
      <c r="B255" s="24">
        <v>750.2</v>
      </c>
      <c r="C255" s="24">
        <v>752</v>
      </c>
      <c r="D255" s="21">
        <v>0.2</v>
      </c>
      <c r="E255" s="24">
        <v>2</v>
      </c>
      <c r="F255" s="24">
        <v>1000000</v>
      </c>
      <c r="G255" s="25">
        <v>749.9</v>
      </c>
      <c r="H255" s="25">
        <v>751.3</v>
      </c>
      <c r="J255" s="1">
        <f t="shared" ref="J255" si="255">J251-1</f>
        <v>9</v>
      </c>
      <c r="M255" s="1" t="s">
        <v>2</v>
      </c>
      <c r="N255" s="1" t="s">
        <v>3</v>
      </c>
      <c r="O255" s="1" t="s">
        <v>4</v>
      </c>
      <c r="P255" s="1" t="s">
        <v>5</v>
      </c>
      <c r="S255" s="1">
        <f t="shared" si="241"/>
        <v>5</v>
      </c>
      <c r="T255" s="1">
        <v>222</v>
      </c>
    </row>
    <row r="256" spans="1:20" x14ac:dyDescent="0.3">
      <c r="A256" s="1">
        <f t="shared" si="219"/>
        <v>5223</v>
      </c>
      <c r="B256" s="24">
        <v>800.1</v>
      </c>
      <c r="C256" s="24">
        <v>802</v>
      </c>
      <c r="D256" s="21">
        <v>0.2</v>
      </c>
      <c r="E256" s="24">
        <v>2</v>
      </c>
      <c r="F256" s="24">
        <v>1000000</v>
      </c>
      <c r="G256" s="25">
        <v>799.9</v>
      </c>
      <c r="H256" s="25">
        <v>801.4</v>
      </c>
      <c r="J256" s="1" t="str">
        <f t="shared" ref="J256" si="256">CONCATENATE(J255,"1")</f>
        <v>91</v>
      </c>
      <c r="M256" s="1">
        <f t="array" ref="M256:P258">LINEST($B250:$B260,$C250:$C260^{1,2,3},TRUE,TRUE)</f>
        <v>-1.5921607402437717E-8</v>
      </c>
      <c r="N256" s="1">
        <v>3.710341767140045E-5</v>
      </c>
      <c r="O256" s="1">
        <v>0.97124046318923096</v>
      </c>
      <c r="P256" s="1">
        <v>5.5411072623047009</v>
      </c>
      <c r="S256" s="1">
        <f t="shared" si="241"/>
        <v>5</v>
      </c>
      <c r="T256" s="1">
        <v>223</v>
      </c>
    </row>
    <row r="257" spans="1:20" x14ac:dyDescent="0.3">
      <c r="A257" s="1">
        <f t="shared" si="219"/>
        <v>5224</v>
      </c>
      <c r="B257" s="24">
        <v>850.1</v>
      </c>
      <c r="C257" s="24">
        <v>852</v>
      </c>
      <c r="D257" s="21">
        <v>0.2</v>
      </c>
      <c r="E257" s="24">
        <v>2</v>
      </c>
      <c r="F257" s="24">
        <v>1000000</v>
      </c>
      <c r="G257" s="25">
        <v>849.9</v>
      </c>
      <c r="H257" s="25">
        <v>851.4</v>
      </c>
      <c r="J257" s="1" t="str">
        <f t="shared" ref="J257" si="257">CONCATENATE(J255,"2")</f>
        <v>92</v>
      </c>
      <c r="M257" s="1">
        <v>6.8980929978439908E-9</v>
      </c>
      <c r="N257" s="1">
        <v>1.5599167087705065E-5</v>
      </c>
      <c r="O257" s="1">
        <v>1.1496255832384636E-2</v>
      </c>
      <c r="P257" s="1">
        <v>2.7561295987452219</v>
      </c>
      <c r="S257" s="1">
        <f t="shared" si="241"/>
        <v>5</v>
      </c>
      <c r="T257" s="1">
        <v>224</v>
      </c>
    </row>
    <row r="258" spans="1:20" x14ac:dyDescent="0.3">
      <c r="A258" s="1">
        <f t="shared" si="219"/>
        <v>5225</v>
      </c>
      <c r="B258" s="24">
        <v>900.1</v>
      </c>
      <c r="C258" s="24">
        <v>902</v>
      </c>
      <c r="D258" s="21">
        <v>0.2</v>
      </c>
      <c r="E258" s="24">
        <v>2</v>
      </c>
      <c r="F258" s="24">
        <v>1000000</v>
      </c>
      <c r="G258" s="25">
        <v>899.9</v>
      </c>
      <c r="H258" s="25">
        <v>901.5</v>
      </c>
      <c r="J258" s="1" t="str">
        <f t="shared" ref="J258" si="258">CONCATENATE(J255,"3")</f>
        <v>93</v>
      </c>
      <c r="M258" s="1">
        <v>0.99999988426986419</v>
      </c>
      <c r="N258" s="1">
        <v>6.7321519565557653E-2</v>
      </c>
      <c r="O258" s="1" t="e">
        <v>#N/A</v>
      </c>
      <c r="P258" s="1" t="e">
        <v>#N/A</v>
      </c>
      <c r="S258" s="1">
        <f t="shared" si="241"/>
        <v>5</v>
      </c>
      <c r="T258" s="1">
        <v>225</v>
      </c>
    </row>
    <row r="259" spans="1:20" x14ac:dyDescent="0.3">
      <c r="A259" s="1">
        <f t="shared" si="219"/>
        <v>5226</v>
      </c>
      <c r="B259" s="24">
        <v>950</v>
      </c>
      <c r="C259" s="24">
        <v>952</v>
      </c>
      <c r="D259" s="21">
        <v>0.2</v>
      </c>
      <c r="E259" s="24">
        <v>2</v>
      </c>
      <c r="F259" s="24">
        <v>1000000</v>
      </c>
      <c r="G259" s="25">
        <v>949.9</v>
      </c>
      <c r="H259" s="25">
        <v>951.5</v>
      </c>
      <c r="J259" s="1">
        <f t="shared" ref="J259" si="259">J255-1</f>
        <v>8</v>
      </c>
      <c r="M259" s="1" t="s">
        <v>2</v>
      </c>
      <c r="N259" s="1" t="s">
        <v>3</v>
      </c>
      <c r="O259" s="1" t="s">
        <v>4</v>
      </c>
      <c r="P259" s="1" t="s">
        <v>5</v>
      </c>
      <c r="S259" s="1">
        <f t="shared" si="241"/>
        <v>5</v>
      </c>
      <c r="T259" s="1">
        <v>226</v>
      </c>
    </row>
    <row r="260" spans="1:20" x14ac:dyDescent="0.3">
      <c r="A260" s="1">
        <f t="shared" si="219"/>
        <v>5227</v>
      </c>
      <c r="B260" s="24">
        <v>1000</v>
      </c>
      <c r="C260" s="24">
        <v>1002</v>
      </c>
      <c r="D260" s="21">
        <v>0.2</v>
      </c>
      <c r="E260" s="24">
        <v>2</v>
      </c>
      <c r="F260" s="24">
        <v>1000000</v>
      </c>
      <c r="G260" s="25">
        <v>999.9</v>
      </c>
      <c r="H260" s="25">
        <v>1001.5</v>
      </c>
      <c r="J260" s="1" t="str">
        <f t="shared" ref="J260" si="260">CONCATENATE(J259,"1")</f>
        <v>81</v>
      </c>
      <c r="M260" s="1">
        <f t="array" ref="M260:P262">LINEST($B250:$B259,$C250:$C259^{1,2,3},TRUE,TRUE)</f>
        <v>-2.5191203391675614E-8</v>
      </c>
      <c r="N260" s="1">
        <v>5.66417726548895E-5</v>
      </c>
      <c r="O260" s="1">
        <v>0.95781291433629623</v>
      </c>
      <c r="P260" s="1">
        <v>8.5480514776814687</v>
      </c>
      <c r="S260" s="1">
        <f t="shared" si="241"/>
        <v>5</v>
      </c>
      <c r="T260" s="1">
        <v>227</v>
      </c>
    </row>
    <row r="261" spans="1:20" x14ac:dyDescent="0.3">
      <c r="A261" s="1">
        <f t="shared" si="219"/>
        <v>5228</v>
      </c>
      <c r="B261" s="24">
        <v>1050</v>
      </c>
      <c r="C261" s="24">
        <v>1052</v>
      </c>
      <c r="D261" s="21">
        <v>0.2</v>
      </c>
      <c r="E261" s="24">
        <v>2</v>
      </c>
      <c r="F261" s="24">
        <v>1000000</v>
      </c>
      <c r="G261" s="25">
        <v>1049.9000000000001</v>
      </c>
      <c r="H261" s="25">
        <v>1051.5</v>
      </c>
      <c r="J261" s="1" t="str">
        <f t="shared" ref="J261" si="261">CONCATENATE(J259,"2")</f>
        <v>82</v>
      </c>
      <c r="M261" s="1">
        <v>9.0899669174658227E-9</v>
      </c>
      <c r="N261" s="1">
        <v>1.986883800357684E-5</v>
      </c>
      <c r="O261" s="1">
        <v>1.4191205312341498E-2</v>
      </c>
      <c r="P261" s="1">
        <v>3.3073841630454268</v>
      </c>
      <c r="S261" s="1">
        <f t="shared" si="241"/>
        <v>5</v>
      </c>
      <c r="T261" s="1">
        <v>228</v>
      </c>
    </row>
    <row r="262" spans="1:20" x14ac:dyDescent="0.3">
      <c r="A262" s="1">
        <f t="shared" si="219"/>
        <v>5229</v>
      </c>
      <c r="B262" s="24">
        <v>1097</v>
      </c>
      <c r="C262" s="24">
        <v>1099</v>
      </c>
      <c r="D262" s="21">
        <v>0.2</v>
      </c>
      <c r="E262" s="24">
        <v>2</v>
      </c>
      <c r="F262" s="24">
        <v>1000000</v>
      </c>
      <c r="G262" s="25">
        <v>1099.9000000000001</v>
      </c>
      <c r="H262" s="25">
        <v>1101.5</v>
      </c>
      <c r="J262" s="1" t="str">
        <f t="shared" ref="J262" si="262">CONCATENATE(J259,"3")</f>
        <v>83</v>
      </c>
      <c r="M262" s="1">
        <v>0.99999988531671868</v>
      </c>
      <c r="N262" s="1">
        <v>6.2675529428421348E-2</v>
      </c>
      <c r="O262" s="1" t="e">
        <v>#N/A</v>
      </c>
      <c r="P262" s="1" t="e">
        <v>#N/A</v>
      </c>
      <c r="S262" s="1">
        <f t="shared" si="241"/>
        <v>5</v>
      </c>
      <c r="T262" s="1">
        <v>229</v>
      </c>
    </row>
    <row r="263" spans="1:20" x14ac:dyDescent="0.3">
      <c r="A263" s="1">
        <f t="shared" si="219"/>
        <v>5230</v>
      </c>
      <c r="B263" s="24"/>
      <c r="C263" s="24"/>
      <c r="D263" s="24"/>
      <c r="E263" s="24"/>
      <c r="F263" s="24"/>
      <c r="G263" s="25"/>
      <c r="H263" s="25"/>
      <c r="J263" s="1">
        <f t="shared" ref="J263" si="263">J259-1</f>
        <v>7</v>
      </c>
      <c r="M263" s="1" t="s">
        <v>2</v>
      </c>
      <c r="N263" s="1" t="s">
        <v>3</v>
      </c>
      <c r="O263" s="1" t="s">
        <v>4</v>
      </c>
      <c r="P263" s="1" t="s">
        <v>5</v>
      </c>
      <c r="S263" s="1">
        <f t="shared" si="241"/>
        <v>5</v>
      </c>
      <c r="T263" s="1">
        <v>230</v>
      </c>
    </row>
    <row r="264" spans="1:20" x14ac:dyDescent="0.3">
      <c r="A264" s="1">
        <f t="shared" si="219"/>
        <v>5231</v>
      </c>
      <c r="B264" s="24"/>
      <c r="C264" s="24"/>
      <c r="D264" s="24"/>
      <c r="E264" s="24"/>
      <c r="F264" s="24"/>
      <c r="G264" s="25"/>
      <c r="H264" s="25"/>
      <c r="J264" s="1" t="str">
        <f t="shared" ref="J264" si="264">CONCATENATE(J263,"1")</f>
        <v>71</v>
      </c>
      <c r="M264" s="1">
        <f t="array" ref="M264:P266">LINEST($B250:$B258,$C250:$C258^{1,2,3},TRUE,TRUE)</f>
        <v>-3.0583910914530087E-8</v>
      </c>
      <c r="N264" s="1">
        <v>6.7661962955117272E-5</v>
      </c>
      <c r="O264" s="1">
        <v>0.95044776151901544</v>
      </c>
      <c r="P264" s="1">
        <v>10.157249921030433</v>
      </c>
      <c r="S264" s="1">
        <f t="shared" si="241"/>
        <v>5</v>
      </c>
      <c r="T264" s="1">
        <v>231</v>
      </c>
    </row>
    <row r="265" spans="1:20" x14ac:dyDescent="0.3">
      <c r="A265" s="1">
        <f t="shared" si="219"/>
        <v>5232</v>
      </c>
      <c r="B265" s="2">
        <f t="shared" ref="B265" si="265">COUNT(B250:B264)-2</f>
        <v>11</v>
      </c>
      <c r="J265" s="1" t="str">
        <f t="shared" ref="J265" si="266">CONCATENATE(J263,"2")</f>
        <v>72</v>
      </c>
      <c r="M265" s="1">
        <v>1.429990194123861E-8</v>
      </c>
      <c r="N265" s="1">
        <v>3.0176418535026901E-5</v>
      </c>
      <c r="O265" s="1">
        <v>2.0864030556756532E-2</v>
      </c>
      <c r="P265" s="1">
        <v>4.7213007724002303</v>
      </c>
      <c r="S265" s="1">
        <f t="shared" si="241"/>
        <v>5</v>
      </c>
      <c r="T265" s="1">
        <v>232</v>
      </c>
    </row>
    <row r="266" spans="1:20" x14ac:dyDescent="0.3">
      <c r="A266" s="1">
        <f t="shared" si="219"/>
        <v>5233</v>
      </c>
      <c r="J266" s="1" t="str">
        <f t="shared" ref="J266" si="267">CONCATENATE(J263,"3")</f>
        <v>73</v>
      </c>
      <c r="M266" s="1">
        <v>0.99999985014386394</v>
      </c>
      <c r="N266" s="1">
        <v>6.6915995838472894E-2</v>
      </c>
      <c r="O266" s="1" t="e">
        <v>#N/A</v>
      </c>
      <c r="P266" s="1" t="e">
        <v>#N/A</v>
      </c>
      <c r="S266" s="1">
        <f t="shared" si="241"/>
        <v>5</v>
      </c>
      <c r="T266" s="1">
        <v>233</v>
      </c>
    </row>
    <row r="267" spans="1:20" x14ac:dyDescent="0.3">
      <c r="A267" s="1">
        <f t="shared" si="219"/>
        <v>5234</v>
      </c>
      <c r="B267" s="54" t="s">
        <v>25</v>
      </c>
      <c r="C267" s="54"/>
      <c r="D267" s="54"/>
      <c r="E267" s="54"/>
      <c r="F267" s="54"/>
      <c r="G267" s="54"/>
      <c r="H267" s="54"/>
      <c r="J267" s="1">
        <f t="shared" ref="J267" si="268">J263-1</f>
        <v>6</v>
      </c>
      <c r="M267" s="1" t="s">
        <v>2</v>
      </c>
      <c r="N267" s="1" t="s">
        <v>3</v>
      </c>
      <c r="O267" s="1" t="s">
        <v>4</v>
      </c>
      <c r="P267" s="1" t="s">
        <v>5</v>
      </c>
      <c r="S267" s="1">
        <f t="shared" si="241"/>
        <v>5</v>
      </c>
      <c r="T267" s="1">
        <v>234</v>
      </c>
    </row>
    <row r="268" spans="1:20" x14ac:dyDescent="0.3">
      <c r="A268" s="1">
        <f t="shared" si="219"/>
        <v>5235</v>
      </c>
      <c r="B268" s="56"/>
      <c r="C268" s="56"/>
      <c r="D268" s="56"/>
      <c r="E268" s="56"/>
      <c r="F268" s="56"/>
      <c r="G268" s="56"/>
      <c r="H268" s="56"/>
      <c r="J268" s="1" t="str">
        <f t="shared" ref="J268" si="269">CONCATENATE(J267,"1")</f>
        <v>61</v>
      </c>
      <c r="M268" s="1">
        <f t="array" ref="M268:P270">LINEST($B250:$B257,$C250:$C257^{1,2,3},TRUE,TRUE)</f>
        <v>-5.3188854423370513E-8</v>
      </c>
      <c r="N268" s="1">
        <v>1.1240317687601928E-4</v>
      </c>
      <c r="O268" s="1">
        <v>0.92139851593339139</v>
      </c>
      <c r="P268" s="1">
        <v>16.342769237083374</v>
      </c>
      <c r="S268" s="1">
        <f t="shared" si="241"/>
        <v>5</v>
      </c>
      <c r="T268" s="1">
        <v>235</v>
      </c>
    </row>
    <row r="269" spans="1:20" x14ac:dyDescent="0.3">
      <c r="A269" s="1">
        <f t="shared" si="219"/>
        <v>5236</v>
      </c>
      <c r="B269" s="56"/>
      <c r="C269" s="56"/>
      <c r="D269" s="56"/>
      <c r="E269" s="56"/>
      <c r="F269" s="56"/>
      <c r="G269" s="56"/>
      <c r="H269" s="56"/>
      <c r="J269" s="1" t="str">
        <f t="shared" ref="J269" si="270">CONCATENATE(J267,"2")</f>
        <v>62</v>
      </c>
      <c r="M269" s="1">
        <v>1.9907925028689325E-8</v>
      </c>
      <c r="N269" s="1">
        <v>4.0507401213626907E-5</v>
      </c>
      <c r="O269" s="1">
        <v>2.7076621654069311E-2</v>
      </c>
      <c r="P269" s="1">
        <v>5.9412262088382866</v>
      </c>
      <c r="S269" s="1">
        <f t="shared" si="241"/>
        <v>5</v>
      </c>
      <c r="T269" s="1">
        <v>236</v>
      </c>
    </row>
    <row r="270" spans="1:20" x14ac:dyDescent="0.3">
      <c r="A270" s="1">
        <f t="shared" si="219"/>
        <v>5237</v>
      </c>
      <c r="J270" s="1" t="str">
        <f t="shared" ref="J270" si="271">CONCATENATE(J267,"3")</f>
        <v>63</v>
      </c>
      <c r="M270" s="1">
        <v>0.99999986190876589</v>
      </c>
      <c r="N270" s="1">
        <v>6.0061163203183346E-2</v>
      </c>
      <c r="O270" s="1" t="e">
        <v>#N/A</v>
      </c>
      <c r="P270" s="1" t="e">
        <v>#N/A</v>
      </c>
      <c r="S270" s="1">
        <f t="shared" si="241"/>
        <v>5</v>
      </c>
      <c r="T270" s="1">
        <v>237</v>
      </c>
    </row>
    <row r="271" spans="1:20" ht="15" customHeight="1" x14ac:dyDescent="0.3">
      <c r="A271" s="1">
        <f t="shared" si="219"/>
        <v>5238</v>
      </c>
      <c r="J271" s="1">
        <f t="shared" ref="J271" si="272">J267-1</f>
        <v>5</v>
      </c>
      <c r="M271" s="1" t="s">
        <v>2</v>
      </c>
      <c r="N271" s="1" t="s">
        <v>3</v>
      </c>
      <c r="O271" s="1" t="s">
        <v>4</v>
      </c>
      <c r="P271" s="1" t="s">
        <v>5</v>
      </c>
      <c r="S271" s="1">
        <f t="shared" si="241"/>
        <v>5</v>
      </c>
      <c r="T271" s="1">
        <v>238</v>
      </c>
    </row>
    <row r="272" spans="1:20" x14ac:dyDescent="0.3">
      <c r="A272" s="1">
        <f t="shared" si="219"/>
        <v>5239</v>
      </c>
      <c r="J272" s="1" t="str">
        <f t="shared" ref="J272" si="273">CONCATENATE(J271,"1")</f>
        <v>51</v>
      </c>
      <c r="M272" s="1">
        <f t="array" ref="M272:P274">LINEST($B250:$B256,$C250:$C256^{1,2,3},TRUE,TRUE)</f>
        <v>-9.0417896200926845E-8</v>
      </c>
      <c r="N272" s="1">
        <v>1.8369575145364637E-4</v>
      </c>
      <c r="O272" s="1">
        <v>0.87648119780017653</v>
      </c>
      <c r="P272" s="1">
        <v>25.652349486941748</v>
      </c>
      <c r="S272" s="1">
        <f t="shared" si="241"/>
        <v>5</v>
      </c>
      <c r="T272" s="1">
        <v>239</v>
      </c>
    </row>
    <row r="273" spans="1:20" x14ac:dyDescent="0.3">
      <c r="A273" s="1">
        <f t="shared" si="219"/>
        <v>5240</v>
      </c>
      <c r="E273" s="26"/>
      <c r="F273" s="26"/>
      <c r="G273" s="26"/>
      <c r="H273" s="26"/>
      <c r="J273" s="1" t="str">
        <f t="shared" ref="J273" si="274">CONCATENATE(J271,"2")</f>
        <v>52</v>
      </c>
      <c r="M273" s="1">
        <v>2.7064212813568755E-8</v>
      </c>
      <c r="N273" s="1">
        <v>5.3025463982141222E-5</v>
      </c>
      <c r="O273" s="1">
        <v>3.4218912945073732E-2</v>
      </c>
      <c r="P273" s="1">
        <v>7.2697569001289564</v>
      </c>
      <c r="S273" s="1">
        <f t="shared" si="241"/>
        <v>5</v>
      </c>
      <c r="T273" s="1">
        <v>240</v>
      </c>
    </row>
    <row r="274" spans="1:20" x14ac:dyDescent="0.3">
      <c r="A274" s="1">
        <f t="shared" si="219"/>
        <v>5241</v>
      </c>
      <c r="B274" s="54" t="s">
        <v>90</v>
      </c>
      <c r="C274" s="54"/>
      <c r="D274" s="54"/>
      <c r="E274" s="27">
        <f t="shared" ref="E274" si="275">IF(D236="","",MAX(E275,E276))</f>
        <v>0.5</v>
      </c>
      <c r="F274" s="26"/>
      <c r="G274" s="26"/>
      <c r="H274" s="26"/>
      <c r="J274" s="1" t="str">
        <f t="shared" ref="J274" si="276">CONCATENATE(J271,"3")</f>
        <v>53</v>
      </c>
      <c r="M274" s="1">
        <v>0.99999989576968218</v>
      </c>
      <c r="N274" s="1">
        <v>4.9168098505031725E-2</v>
      </c>
      <c r="O274" s="1" t="e">
        <v>#N/A</v>
      </c>
      <c r="P274" s="1" t="e">
        <v>#N/A</v>
      </c>
      <c r="S274" s="1">
        <f t="shared" si="241"/>
        <v>5</v>
      </c>
      <c r="T274" s="1">
        <v>241</v>
      </c>
    </row>
    <row r="275" spans="1:20" x14ac:dyDescent="0.3">
      <c r="A275" s="1">
        <f t="shared" si="219"/>
        <v>5242</v>
      </c>
      <c r="B275" s="2" t="s">
        <v>26</v>
      </c>
      <c r="C275" s="2" t="s">
        <v>27</v>
      </c>
      <c r="D275" s="2" t="s">
        <v>28</v>
      </c>
      <c r="E275" s="28">
        <f t="shared" ref="E275" si="277">ABS(MIN(D276:D290))</f>
        <v>0.5</v>
      </c>
      <c r="F275" s="26"/>
      <c r="H275" s="26"/>
      <c r="J275" s="1">
        <f t="shared" ref="J275" si="278">J271-1</f>
        <v>4</v>
      </c>
      <c r="M275" s="1" t="s">
        <v>2</v>
      </c>
      <c r="N275" s="1" t="s">
        <v>3</v>
      </c>
      <c r="O275" s="1" t="s">
        <v>4</v>
      </c>
      <c r="P275" s="1" t="s">
        <v>5</v>
      </c>
      <c r="S275" s="1">
        <f t="shared" si="241"/>
        <v>5</v>
      </c>
      <c r="T275" s="1">
        <v>242</v>
      </c>
    </row>
    <row r="276" spans="1:20" x14ac:dyDescent="0.3">
      <c r="A276" s="1">
        <f t="shared" si="219"/>
        <v>5243</v>
      </c>
      <c r="B276" s="2">
        <f t="shared" ref="B276:B290" si="279">C250-B250</f>
        <v>1.5</v>
      </c>
      <c r="C276" s="2">
        <f t="shared" ref="C276:C290" si="280">H250-G250</f>
        <v>1</v>
      </c>
      <c r="D276" s="2">
        <f t="shared" ref="D276:D290" si="281">C276-B276</f>
        <v>-0.5</v>
      </c>
      <c r="E276" s="28">
        <f t="shared" ref="E276" si="282">ABS(MAX(D276:D290))</f>
        <v>0</v>
      </c>
      <c r="F276" s="26"/>
      <c r="H276" s="26"/>
      <c r="J276" s="1" t="str">
        <f t="shared" ref="J276" si="283">CONCATENATE(J275,"1")</f>
        <v>41</v>
      </c>
      <c r="M276" s="1">
        <f t="array" ref="M276:P278">LINEST($B250:$B255,$C250:$C255^{1,2,3},TRUE,TRUE)</f>
        <v>-8.384489798761853E-8</v>
      </c>
      <c r="N276" s="1">
        <v>1.7153153527863741E-4</v>
      </c>
      <c r="O276" s="1">
        <v>0.88390888760220621</v>
      </c>
      <c r="P276" s="1">
        <v>24.155963730447162</v>
      </c>
      <c r="S276" s="1">
        <f t="shared" si="241"/>
        <v>5</v>
      </c>
      <c r="T276" s="1">
        <v>243</v>
      </c>
    </row>
    <row r="277" spans="1:20" x14ac:dyDescent="0.3">
      <c r="A277" s="1">
        <f t="shared" si="219"/>
        <v>5244</v>
      </c>
      <c r="B277" s="2">
        <f t="shared" si="279"/>
        <v>1.7999999999999545</v>
      </c>
      <c r="C277" s="2">
        <f t="shared" si="280"/>
        <v>1.3000000000000682</v>
      </c>
      <c r="D277" s="2">
        <f t="shared" si="281"/>
        <v>-0.49999999999988631</v>
      </c>
      <c r="E277" s="29" t="s">
        <v>32</v>
      </c>
      <c r="F277" s="26"/>
      <c r="H277" s="26"/>
      <c r="J277" s="1" t="str">
        <f t="shared" ref="J277" si="284">CONCATENATE(J275,"2")</f>
        <v>42</v>
      </c>
      <c r="M277" s="1">
        <v>6.0360120615655896E-8</v>
      </c>
      <c r="N277" s="1">
        <v>1.1370456869098105E-4</v>
      </c>
      <c r="O277" s="1">
        <v>7.0730899504287167E-2</v>
      </c>
      <c r="P277" s="1">
        <v>14.524767005478527</v>
      </c>
      <c r="S277" s="1">
        <f t="shared" si="241"/>
        <v>5</v>
      </c>
      <c r="T277" s="1">
        <v>244</v>
      </c>
    </row>
    <row r="278" spans="1:20" x14ac:dyDescent="0.3">
      <c r="A278" s="1">
        <f t="shared" si="219"/>
        <v>5245</v>
      </c>
      <c r="B278" s="2">
        <f t="shared" si="279"/>
        <v>1.7999999999999545</v>
      </c>
      <c r="C278" s="2">
        <f t="shared" si="280"/>
        <v>1.3000000000000682</v>
      </c>
      <c r="D278" s="2">
        <f t="shared" si="281"/>
        <v>-0.49999999999988631</v>
      </c>
      <c r="E278" s="27">
        <f t="shared" ref="E278" si="285">IF(D236="","",MAX(E279,E280))</f>
        <v>2</v>
      </c>
      <c r="F278" s="26"/>
      <c r="H278" s="26"/>
      <c r="J278" s="1" t="str">
        <f t="shared" ref="J278" si="286">CONCATENATE(J275,"3")</f>
        <v>43</v>
      </c>
      <c r="M278" s="1">
        <v>0.99999983437512574</v>
      </c>
      <c r="N278" s="1">
        <v>5.9965297686732484E-2</v>
      </c>
      <c r="O278" s="1" t="e">
        <v>#N/A</v>
      </c>
      <c r="P278" s="1" t="e">
        <v>#N/A</v>
      </c>
      <c r="S278" s="1">
        <f t="shared" si="241"/>
        <v>5</v>
      </c>
      <c r="T278" s="1">
        <v>245</v>
      </c>
    </row>
    <row r="279" spans="1:20" x14ac:dyDescent="0.3">
      <c r="A279" s="1">
        <f t="shared" si="219"/>
        <v>5246</v>
      </c>
      <c r="B279" s="2">
        <f t="shared" si="279"/>
        <v>1.8999999999999773</v>
      </c>
      <c r="C279" s="2">
        <f t="shared" si="280"/>
        <v>1.3999999999999773</v>
      </c>
      <c r="D279" s="2">
        <f t="shared" si="281"/>
        <v>-0.5</v>
      </c>
      <c r="E279" s="28">
        <f t="shared" ref="E279" si="287">ABS(MIN(B276:B290))</f>
        <v>0</v>
      </c>
      <c r="F279" s="26"/>
      <c r="H279" s="26"/>
      <c r="J279" s="1">
        <f t="shared" ref="J279" si="288">J275-1</f>
        <v>3</v>
      </c>
      <c r="M279" s="1" t="s">
        <v>2</v>
      </c>
      <c r="N279" s="1" t="s">
        <v>3</v>
      </c>
      <c r="O279" s="1" t="s">
        <v>4</v>
      </c>
      <c r="P279" s="1" t="s">
        <v>5</v>
      </c>
      <c r="S279" s="1">
        <f t="shared" si="241"/>
        <v>5</v>
      </c>
      <c r="T279" s="1">
        <v>246</v>
      </c>
    </row>
    <row r="280" spans="1:20" x14ac:dyDescent="0.3">
      <c r="A280" s="1">
        <f t="shared" si="219"/>
        <v>5247</v>
      </c>
      <c r="B280" s="2">
        <f t="shared" si="279"/>
        <v>1.7999999999999545</v>
      </c>
      <c r="C280" s="2">
        <f t="shared" si="280"/>
        <v>1.3999999999999773</v>
      </c>
      <c r="D280" s="2">
        <f t="shared" si="281"/>
        <v>-0.39999999999997726</v>
      </c>
      <c r="E280" s="28">
        <f t="shared" ref="E280" si="289">ABS(MAX(B276:B290))</f>
        <v>2</v>
      </c>
      <c r="F280" s="26"/>
      <c r="H280" s="26"/>
      <c r="J280" s="1" t="str">
        <f t="shared" ref="J280" si="290">CONCATENATE(J279,"1")</f>
        <v>31</v>
      </c>
      <c r="M280" s="1">
        <f t="array" ref="M280:P282">LINEST($B250:$B254,$C250:$C254^{1,2,3},TRUE,TRUE)</f>
        <v>-7.0334902536416704E-8</v>
      </c>
      <c r="N280" s="1">
        <v>1.4739963667603884E-4</v>
      </c>
      <c r="O280" s="1">
        <v>0.89817015750619167</v>
      </c>
      <c r="P280" s="1">
        <v>21.367637195708866</v>
      </c>
      <c r="S280" s="1">
        <f t="shared" si="241"/>
        <v>5</v>
      </c>
      <c r="T280" s="1">
        <v>247</v>
      </c>
    </row>
    <row r="281" spans="1:20" x14ac:dyDescent="0.3">
      <c r="A281" s="1">
        <f t="shared" si="219"/>
        <v>5248</v>
      </c>
      <c r="B281" s="2">
        <f t="shared" si="279"/>
        <v>1.7999999999999545</v>
      </c>
      <c r="C281" s="2">
        <f t="shared" si="280"/>
        <v>1.3999999999999773</v>
      </c>
      <c r="D281" s="2">
        <f t="shared" si="281"/>
        <v>-0.39999999999997726</v>
      </c>
      <c r="E281" s="29" t="s">
        <v>33</v>
      </c>
      <c r="F281" s="26"/>
      <c r="J281" s="1" t="str">
        <f t="shared" ref="J281" si="291">CONCATENATE(J279,"2")</f>
        <v>32</v>
      </c>
      <c r="M281" s="1">
        <v>1.8074014392113544E-7</v>
      </c>
      <c r="N281" s="1">
        <v>3.2682920964463639E-4</v>
      </c>
      <c r="O281" s="1">
        <v>0.19563694232598924</v>
      </c>
      <c r="P281" s="1">
        <v>38.759032761720029</v>
      </c>
      <c r="S281" s="1">
        <f t="shared" si="241"/>
        <v>5</v>
      </c>
      <c r="T281" s="1">
        <v>248</v>
      </c>
    </row>
    <row r="282" spans="1:20" x14ac:dyDescent="0.3">
      <c r="A282" s="1">
        <f t="shared" si="219"/>
        <v>5249</v>
      </c>
      <c r="B282" s="2">
        <f t="shared" si="279"/>
        <v>1.8999999999999773</v>
      </c>
      <c r="C282" s="2">
        <f t="shared" si="280"/>
        <v>1.5</v>
      </c>
      <c r="D282" s="2">
        <f t="shared" si="281"/>
        <v>-0.39999999999997726</v>
      </c>
      <c r="E282" s="27">
        <f t="shared" ref="E282" si="292">IF(D236="","",MAX(E283,E284))</f>
        <v>0.2</v>
      </c>
      <c r="F282" s="26"/>
      <c r="J282" s="1" t="str">
        <f t="shared" ref="J282" si="293">CONCATENATE(J279,"3")</f>
        <v>33</v>
      </c>
      <c r="M282" s="1">
        <v>0.9999997112809812</v>
      </c>
      <c r="N282" s="1">
        <v>8.4501059193021866E-2</v>
      </c>
      <c r="O282" s="1" t="e">
        <v>#N/A</v>
      </c>
      <c r="P282" s="1" t="e">
        <v>#N/A</v>
      </c>
      <c r="S282" s="1">
        <f t="shared" si="241"/>
        <v>5</v>
      </c>
      <c r="T282" s="1">
        <v>249</v>
      </c>
    </row>
    <row r="283" spans="1:20" x14ac:dyDescent="0.3">
      <c r="A283" s="1">
        <f t="shared" si="219"/>
        <v>5250</v>
      </c>
      <c r="B283" s="2">
        <f t="shared" si="279"/>
        <v>1.8999999999999773</v>
      </c>
      <c r="C283" s="2">
        <f t="shared" si="280"/>
        <v>1.5</v>
      </c>
      <c r="D283" s="2">
        <f t="shared" si="281"/>
        <v>-0.39999999999997726</v>
      </c>
      <c r="E283" s="28">
        <f t="shared" ref="E283" si="294">ABS(MIN(D250:D264))</f>
        <v>0.2</v>
      </c>
      <c r="F283" s="26"/>
      <c r="J283" s="1">
        <f t="shared" ref="J283" si="295">J279-1</f>
        <v>2</v>
      </c>
      <c r="N283" s="1" t="s">
        <v>3</v>
      </c>
      <c r="O283" s="1" t="s">
        <v>4</v>
      </c>
      <c r="P283" s="1" t="s">
        <v>5</v>
      </c>
      <c r="S283" s="1">
        <f t="shared" si="241"/>
        <v>5</v>
      </c>
      <c r="T283" s="1">
        <v>250</v>
      </c>
    </row>
    <row r="284" spans="1:20" x14ac:dyDescent="0.3">
      <c r="A284" s="1">
        <f t="shared" si="219"/>
        <v>5251</v>
      </c>
      <c r="B284" s="2">
        <f t="shared" si="279"/>
        <v>1.8999999999999773</v>
      </c>
      <c r="C284" s="2">
        <f t="shared" si="280"/>
        <v>1.6000000000000227</v>
      </c>
      <c r="D284" s="2">
        <f t="shared" si="281"/>
        <v>-0.29999999999995453</v>
      </c>
      <c r="E284" s="28">
        <f t="shared" ref="E284" si="296">ABS(MAX(D250:D264))</f>
        <v>0.2</v>
      </c>
      <c r="F284" s="26"/>
      <c r="J284" s="1" t="str">
        <f t="shared" ref="J284" si="297">CONCATENATE(J283,"1")</f>
        <v>21</v>
      </c>
      <c r="N284" s="1">
        <f t="array" ref="N284:P286">LINEST($B250:$B253,$C250:$C253^{1,2},TRUE,TRUE)</f>
        <v>2.0424026317404439E-5</v>
      </c>
      <c r="O284" s="1">
        <v>0.97399948393071323</v>
      </c>
      <c r="P284" s="1">
        <v>6.3900906243144941</v>
      </c>
      <c r="S284" s="1">
        <f t="shared" si="241"/>
        <v>5</v>
      </c>
      <c r="T284" s="1">
        <v>251</v>
      </c>
    </row>
    <row r="285" spans="1:20" x14ac:dyDescent="0.3">
      <c r="A285" s="1">
        <f t="shared" si="219"/>
        <v>5252</v>
      </c>
      <c r="B285" s="2">
        <f t="shared" si="279"/>
        <v>2</v>
      </c>
      <c r="C285" s="2">
        <f t="shared" si="280"/>
        <v>1.6000000000000227</v>
      </c>
      <c r="D285" s="2">
        <f t="shared" si="281"/>
        <v>-0.39999999999997726</v>
      </c>
      <c r="E285" s="26"/>
      <c r="F285" s="26"/>
      <c r="J285" s="1" t="str">
        <f t="shared" ref="J285" si="298">CONCATENATE(J283,"2")</f>
        <v>22</v>
      </c>
      <c r="N285" s="1">
        <v>1.8409543248084483E-5</v>
      </c>
      <c r="O285" s="1">
        <v>2.1280474692038844E-2</v>
      </c>
      <c r="P285" s="1">
        <v>6.1022662099485689</v>
      </c>
      <c r="S285" s="1">
        <f t="shared" si="241"/>
        <v>5</v>
      </c>
      <c r="T285" s="1">
        <v>252</v>
      </c>
    </row>
    <row r="286" spans="1:20" x14ac:dyDescent="0.3">
      <c r="A286" s="1">
        <f t="shared" si="219"/>
        <v>5253</v>
      </c>
      <c r="B286" s="2">
        <f t="shared" si="279"/>
        <v>2</v>
      </c>
      <c r="C286" s="2">
        <f t="shared" si="280"/>
        <v>1.6000000000000227</v>
      </c>
      <c r="D286" s="2">
        <f t="shared" si="281"/>
        <v>-0.39999999999997726</v>
      </c>
      <c r="E286" s="26"/>
      <c r="F286" s="26"/>
      <c r="J286" s="1" t="str">
        <f t="shared" ref="J286" si="299">CONCATENATE(J283,"3")</f>
        <v>23</v>
      </c>
      <c r="N286" s="1">
        <v>0.99999933116419559</v>
      </c>
      <c r="O286" s="1">
        <v>9.0669114235816695E-2</v>
      </c>
      <c r="P286" s="1" t="e">
        <v>#N/A</v>
      </c>
      <c r="S286" s="1">
        <f t="shared" si="241"/>
        <v>5</v>
      </c>
      <c r="T286" s="1">
        <v>253</v>
      </c>
    </row>
    <row r="287" spans="1:20" x14ac:dyDescent="0.3">
      <c r="A287" s="1">
        <f t="shared" si="219"/>
        <v>5254</v>
      </c>
      <c r="B287" s="2">
        <f t="shared" si="279"/>
        <v>2</v>
      </c>
      <c r="C287" s="2">
        <f t="shared" si="280"/>
        <v>1.5999999999999091</v>
      </c>
      <c r="D287" s="2">
        <f t="shared" si="281"/>
        <v>-0.40000000000009095</v>
      </c>
      <c r="E287" s="26"/>
      <c r="F287" s="26"/>
      <c r="J287" s="1">
        <f t="shared" ref="J287" si="300">J283-1</f>
        <v>1</v>
      </c>
      <c r="O287" s="1" t="s">
        <v>4</v>
      </c>
      <c r="P287" s="1" t="s">
        <v>5</v>
      </c>
      <c r="S287" s="1">
        <f t="shared" si="241"/>
        <v>5</v>
      </c>
      <c r="T287" s="1">
        <v>254</v>
      </c>
    </row>
    <row r="288" spans="1:20" x14ac:dyDescent="0.3">
      <c r="A288" s="1">
        <f t="shared" si="219"/>
        <v>5255</v>
      </c>
      <c r="B288" s="2">
        <f t="shared" si="279"/>
        <v>2</v>
      </c>
      <c r="C288" s="2">
        <f t="shared" si="280"/>
        <v>1.5999999999999091</v>
      </c>
      <c r="D288" s="2">
        <f t="shared" si="281"/>
        <v>-0.40000000000009095</v>
      </c>
      <c r="E288" s="26"/>
      <c r="F288" s="26"/>
      <c r="J288" s="1" t="str">
        <f t="shared" ref="J288" si="301">CONCATENATE(J287,"1")</f>
        <v>11</v>
      </c>
      <c r="O288" s="1">
        <f t="array" ref="O288:P290">LINEST($B250:$B252,$C250:$C252^{1},TRUE,TRUE)</f>
        <v>0.99698000272071896</v>
      </c>
      <c r="P288" s="1">
        <v>-3.1954836077147775E-2</v>
      </c>
      <c r="S288" s="1">
        <f t="shared" si="241"/>
        <v>5</v>
      </c>
      <c r="T288" s="1">
        <v>255</v>
      </c>
    </row>
    <row r="289" spans="1:20" x14ac:dyDescent="0.3">
      <c r="A289" s="1">
        <f t="shared" si="219"/>
        <v>5256</v>
      </c>
      <c r="B289" s="2">
        <f t="shared" si="279"/>
        <v>0</v>
      </c>
      <c r="C289" s="2">
        <f t="shared" si="280"/>
        <v>0</v>
      </c>
      <c r="D289" s="2">
        <f t="shared" si="281"/>
        <v>0</v>
      </c>
      <c r="E289" s="26"/>
      <c r="F289" s="26"/>
      <c r="J289" s="1" t="str">
        <f t="shared" ref="J289" si="302">CONCATENATE(J287,"2")</f>
        <v>12</v>
      </c>
      <c r="O289" s="1">
        <v>1.7671583535251963E-3</v>
      </c>
      <c r="P289" s="1">
        <v>0.97867020798816673</v>
      </c>
      <c r="S289" s="1">
        <f t="shared" si="241"/>
        <v>5</v>
      </c>
      <c r="T289" s="1">
        <v>256</v>
      </c>
    </row>
    <row r="290" spans="1:20" x14ac:dyDescent="0.3">
      <c r="A290" s="1">
        <f t="shared" si="219"/>
        <v>5257</v>
      </c>
      <c r="B290" s="2">
        <f t="shared" si="279"/>
        <v>0</v>
      </c>
      <c r="C290" s="2">
        <f t="shared" si="280"/>
        <v>0</v>
      </c>
      <c r="D290" s="2">
        <f t="shared" si="281"/>
        <v>0</v>
      </c>
      <c r="E290" s="30"/>
      <c r="F290" s="30"/>
      <c r="J290" s="1" t="str">
        <f t="shared" ref="J290" si="303">CONCATENATE(J287,"3")</f>
        <v>13</v>
      </c>
      <c r="O290" s="1">
        <v>0.99999685821344553</v>
      </c>
      <c r="P290" s="1">
        <v>0.12370949950033605</v>
      </c>
      <c r="S290" s="1">
        <f t="shared" si="241"/>
        <v>5</v>
      </c>
      <c r="T290" s="1">
        <v>257</v>
      </c>
    </row>
    <row r="291" spans="1:20" s="8" customFormat="1" x14ac:dyDescent="0.3"/>
    <row r="292" spans="1:20" x14ac:dyDescent="0.3">
      <c r="A292" s="1">
        <f t="shared" ref="A292:A348" si="304">ROUND(CONCATENATE(S292,T292),0)</f>
        <v>6201</v>
      </c>
      <c r="B292" s="57" t="s">
        <v>0</v>
      </c>
      <c r="C292" s="57"/>
      <c r="D292" s="56" t="s">
        <v>46</v>
      </c>
      <c r="E292" s="56"/>
      <c r="F292" s="56"/>
      <c r="G292" s="56"/>
      <c r="H292" s="56"/>
      <c r="L292" s="1">
        <v>1</v>
      </c>
      <c r="M292" s="1">
        <v>2</v>
      </c>
      <c r="N292" s="1">
        <v>3</v>
      </c>
      <c r="O292" s="1">
        <v>4</v>
      </c>
      <c r="P292" s="1">
        <v>5</v>
      </c>
      <c r="Q292" s="1">
        <v>6</v>
      </c>
      <c r="R292" s="1">
        <v>7</v>
      </c>
      <c r="S292" s="1">
        <f t="shared" ref="S292" si="305">S290+1</f>
        <v>6</v>
      </c>
      <c r="T292" s="1">
        <v>201</v>
      </c>
    </row>
    <row r="293" spans="1:20" x14ac:dyDescent="0.3">
      <c r="A293" s="1">
        <f t="shared" si="304"/>
        <v>6202</v>
      </c>
      <c r="B293" s="57"/>
      <c r="C293" s="57"/>
      <c r="D293" s="57"/>
      <c r="E293" s="57"/>
      <c r="F293" s="57"/>
      <c r="G293" s="57"/>
      <c r="H293" s="57"/>
      <c r="K293" s="2" t="s">
        <v>1</v>
      </c>
      <c r="L293" s="2"/>
      <c r="M293" s="2" t="s">
        <v>2</v>
      </c>
      <c r="N293" s="2" t="s">
        <v>3</v>
      </c>
      <c r="O293" s="2" t="s">
        <v>4</v>
      </c>
      <c r="P293" s="2" t="s">
        <v>5</v>
      </c>
      <c r="S293" s="1">
        <f t="shared" ref="S293" si="306">S292</f>
        <v>6</v>
      </c>
      <c r="T293" s="1">
        <v>202</v>
      </c>
    </row>
    <row r="294" spans="1:20" x14ac:dyDescent="0.3">
      <c r="A294" s="1">
        <f t="shared" si="304"/>
        <v>6203</v>
      </c>
      <c r="B294" s="64" t="s">
        <v>6</v>
      </c>
      <c r="C294" s="64"/>
      <c r="D294" s="56" t="s">
        <v>122</v>
      </c>
      <c r="E294" s="56"/>
      <c r="F294" s="56"/>
      <c r="G294" s="56"/>
      <c r="H294" s="56"/>
      <c r="K294" s="3">
        <f t="shared" ref="K294" si="307">IF(K296&gt;=3,N296,LOOKUP(15-($B323+1),M292:R292,M296:P296))</f>
        <v>3.8627956095552779E-2</v>
      </c>
      <c r="L294" s="2" t="str">
        <f t="shared" ref="L294" si="308">CONCATENATE($B323,"1")</f>
        <v>111</v>
      </c>
      <c r="M294" s="2">
        <f t="shared" ref="M294" si="309">VLOOKUP(L294,J297:P348,O292,FALSE)</f>
        <v>-2.3310023309462804E-10</v>
      </c>
      <c r="N294" s="2">
        <f t="shared" ref="N294" si="310">VLOOKUP(L294,J297:P348,P292,FALSE)</f>
        <v>8.9910089908734612E-7</v>
      </c>
      <c r="O294" s="2">
        <f t="shared" ref="O294" si="311">VLOOKUP(L294,J297:P348,Q292,FALSE)</f>
        <v>0.99883674658675758</v>
      </c>
      <c r="P294" s="2">
        <f t="shared" ref="P294" si="312">VLOOKUP(L294,J297:P348,R292,FALSE)</f>
        <v>0.40109890109578289</v>
      </c>
      <c r="S294" s="1">
        <f t="shared" si="241"/>
        <v>6</v>
      </c>
      <c r="T294" s="1">
        <v>203</v>
      </c>
    </row>
    <row r="295" spans="1:20" x14ac:dyDescent="0.3">
      <c r="A295" s="1">
        <f t="shared" si="304"/>
        <v>6204</v>
      </c>
      <c r="B295" s="57" t="s">
        <v>7</v>
      </c>
      <c r="C295" s="57"/>
      <c r="D295" s="56" t="s">
        <v>92</v>
      </c>
      <c r="E295" s="56"/>
      <c r="F295" s="56"/>
      <c r="G295" s="56"/>
      <c r="H295" s="56"/>
      <c r="K295" s="2" t="s">
        <v>8</v>
      </c>
      <c r="L295" s="2" t="str">
        <f t="shared" ref="L295" si="313">CONCATENATE($B323,"2")</f>
        <v>112</v>
      </c>
      <c r="M295" s="2">
        <f t="shared" ref="M295" si="314">VLOOKUP(L295,J297:P348,O292,FALSE)</f>
        <v>2.1534879765207037E-9</v>
      </c>
      <c r="N295" s="2">
        <f t="shared" ref="N295" si="315">VLOOKUP(L295,J297:P348,P292,FALSE)</f>
        <v>5.1798948394355754E-6</v>
      </c>
      <c r="O295" s="2">
        <f t="shared" ref="O295" si="316">VLOOKUP(L295,J297:P348,Q292,FALSE)</f>
        <v>4.0384887536297322E-3</v>
      </c>
      <c r="P295" s="2">
        <f t="shared" ref="P295" si="317">VLOOKUP(L295,J297:P348,R292,FALSE)</f>
        <v>1.0176988486596898</v>
      </c>
      <c r="S295" s="1">
        <f t="shared" si="241"/>
        <v>6</v>
      </c>
      <c r="T295" s="1">
        <v>204</v>
      </c>
    </row>
    <row r="296" spans="1:20" x14ac:dyDescent="0.3">
      <c r="A296" s="1">
        <f t="shared" si="304"/>
        <v>6205</v>
      </c>
      <c r="B296" s="57" t="s">
        <v>9</v>
      </c>
      <c r="C296" s="57"/>
      <c r="D296" s="56" t="s">
        <v>91</v>
      </c>
      <c r="E296" s="56"/>
      <c r="F296" s="56"/>
      <c r="G296" s="56"/>
      <c r="H296" s="56"/>
      <c r="K296" s="3">
        <f t="shared" ref="K296" si="318">IF(B323&gt;3,3,B323)</f>
        <v>3</v>
      </c>
      <c r="L296" s="2" t="str">
        <f t="shared" ref="L296" si="319">CONCATENATE($B323,"3")</f>
        <v>113</v>
      </c>
      <c r="M296" s="2">
        <f t="shared" ref="M296" si="320">VLOOKUP(L296,J297:P348,O292,FALSE)</f>
        <v>0.99999997047452893</v>
      </c>
      <c r="N296" s="2">
        <f t="shared" ref="N296" si="321">VLOOKUP(L296,J297:P348,P292,FALSE)</f>
        <v>3.8627956095552779E-2</v>
      </c>
      <c r="O296" s="2" t="e">
        <f t="shared" ref="O296" si="322">VLOOKUP(L296,J297:P348,Q292,FALSE)</f>
        <v>#N/A</v>
      </c>
      <c r="P296" s="2" t="e">
        <f t="shared" ref="P296" si="323">VLOOKUP(L296,J297:P348,R292,FALSE)</f>
        <v>#N/A</v>
      </c>
      <c r="S296" s="1">
        <f t="shared" si="241"/>
        <v>6</v>
      </c>
      <c r="T296" s="1">
        <v>205</v>
      </c>
    </row>
    <row r="297" spans="1:20" x14ac:dyDescent="0.3">
      <c r="A297" s="1">
        <f t="shared" si="304"/>
        <v>6206</v>
      </c>
      <c r="B297" s="57" t="s">
        <v>10</v>
      </c>
      <c r="C297" s="57"/>
      <c r="D297" s="62" t="s">
        <v>167</v>
      </c>
      <c r="E297" s="56"/>
      <c r="F297" s="56"/>
      <c r="G297" s="56"/>
      <c r="H297" s="56"/>
      <c r="J297" s="1">
        <v>13</v>
      </c>
      <c r="M297" s="1" t="s">
        <v>2</v>
      </c>
      <c r="N297" s="1" t="s">
        <v>3</v>
      </c>
      <c r="O297" s="1" t="s">
        <v>4</v>
      </c>
      <c r="P297" s="1" t="s">
        <v>5</v>
      </c>
      <c r="S297" s="1">
        <f t="shared" si="241"/>
        <v>6</v>
      </c>
      <c r="T297" s="1">
        <v>206</v>
      </c>
    </row>
    <row r="298" spans="1:20" x14ac:dyDescent="0.3">
      <c r="A298" s="1">
        <f t="shared" si="304"/>
        <v>6207</v>
      </c>
      <c r="B298" s="57" t="s">
        <v>11</v>
      </c>
      <c r="C298" s="57"/>
      <c r="D298" s="63">
        <v>46071</v>
      </c>
      <c r="E298" s="63"/>
      <c r="F298" s="63"/>
      <c r="G298" s="63"/>
      <c r="H298" s="63"/>
      <c r="J298" s="1" t="str">
        <f t="shared" ref="J298" si="324">CONCATENATE(J297,"1")</f>
        <v>131</v>
      </c>
      <c r="M298" s="1" t="e">
        <f t="array" ref="M298:P300">LINEST($B308:$B322,$C308:$C322^{1,2,3},TRUE,TRUE)</f>
        <v>#VALUE!</v>
      </c>
      <c r="N298" s="1" t="e">
        <v>#VALUE!</v>
      </c>
      <c r="O298" s="1" t="e">
        <v>#VALUE!</v>
      </c>
      <c r="P298" s="1" t="e">
        <v>#VALUE!</v>
      </c>
      <c r="S298" s="1">
        <f t="shared" si="241"/>
        <v>6</v>
      </c>
      <c r="T298" s="1">
        <v>207</v>
      </c>
    </row>
    <row r="299" spans="1:20" x14ac:dyDescent="0.3">
      <c r="A299" s="1">
        <f t="shared" si="304"/>
        <v>6208</v>
      </c>
      <c r="B299" s="57" t="s">
        <v>12</v>
      </c>
      <c r="C299" s="57"/>
      <c r="D299" s="58">
        <v>46446</v>
      </c>
      <c r="E299" s="58"/>
      <c r="F299" s="58"/>
      <c r="G299" s="58"/>
      <c r="H299" s="58"/>
      <c r="J299" s="1" t="str">
        <f t="shared" ref="J299" si="325">CONCATENATE(J297,"2")</f>
        <v>132</v>
      </c>
      <c r="M299" s="1" t="e">
        <v>#VALUE!</v>
      </c>
      <c r="N299" s="1" t="e">
        <v>#VALUE!</v>
      </c>
      <c r="O299" s="1" t="e">
        <v>#VALUE!</v>
      </c>
      <c r="P299" s="1" t="e">
        <v>#VALUE!</v>
      </c>
      <c r="S299" s="1">
        <f t="shared" si="241"/>
        <v>6</v>
      </c>
      <c r="T299" s="1">
        <v>208</v>
      </c>
    </row>
    <row r="300" spans="1:20" x14ac:dyDescent="0.3">
      <c r="A300" s="1">
        <f t="shared" si="304"/>
        <v>6209</v>
      </c>
      <c r="B300" s="57" t="s">
        <v>13</v>
      </c>
      <c r="C300" s="57"/>
      <c r="D300" s="9">
        <v>0.1</v>
      </c>
      <c r="E300" s="54" t="s">
        <v>14</v>
      </c>
      <c r="F300" s="54"/>
      <c r="G300" s="54"/>
      <c r="H300" s="9" t="s">
        <v>59</v>
      </c>
      <c r="J300" s="1" t="str">
        <f t="shared" ref="J300" si="326">CONCATENATE(J297,"3")</f>
        <v>133</v>
      </c>
      <c r="M300" s="1" t="e">
        <v>#VALUE!</v>
      </c>
      <c r="N300" s="1" t="e">
        <v>#VALUE!</v>
      </c>
      <c r="O300" s="1" t="e">
        <v>#VALUE!</v>
      </c>
      <c r="P300" s="1" t="e">
        <v>#VALUE!</v>
      </c>
      <c r="S300" s="1">
        <f t="shared" si="241"/>
        <v>6</v>
      </c>
      <c r="T300" s="1">
        <v>209</v>
      </c>
    </row>
    <row r="301" spans="1:20" x14ac:dyDescent="0.3">
      <c r="A301" s="1">
        <f t="shared" si="304"/>
        <v>6210</v>
      </c>
      <c r="B301" s="57" t="s">
        <v>15</v>
      </c>
      <c r="C301" s="57"/>
      <c r="D301" s="2">
        <f>MIN(B308:B322)</f>
        <v>500</v>
      </c>
      <c r="E301" s="4" t="s">
        <v>16</v>
      </c>
      <c r="F301" s="2">
        <f>MAX(B308:B322)</f>
        <v>1099.9000000000001</v>
      </c>
      <c r="G301" s="5" t="str">
        <f>IF(H300="","",H300)</f>
        <v>hPa</v>
      </c>
      <c r="H301" s="23"/>
      <c r="J301" s="1">
        <f t="shared" ref="J301" si="327">J297-1</f>
        <v>12</v>
      </c>
      <c r="M301" s="1" t="s">
        <v>2</v>
      </c>
      <c r="N301" s="1" t="s">
        <v>3</v>
      </c>
      <c r="O301" s="1" t="s">
        <v>4</v>
      </c>
      <c r="P301" s="1" t="s">
        <v>5</v>
      </c>
      <c r="S301" s="1">
        <f t="shared" si="241"/>
        <v>6</v>
      </c>
      <c r="T301" s="1">
        <v>210</v>
      </c>
    </row>
    <row r="302" spans="1:20" x14ac:dyDescent="0.3">
      <c r="A302" s="1">
        <f t="shared" si="304"/>
        <v>6211</v>
      </c>
      <c r="J302" s="1" t="str">
        <f t="shared" ref="J302" si="328">CONCATENATE(J301,"1")</f>
        <v>121</v>
      </c>
      <c r="M302" s="1" t="e">
        <f t="array" ref="M302:P304">LINEST($B308:$B321,$C308:$C321^{1,2,3},TRUE,TRUE)</f>
        <v>#VALUE!</v>
      </c>
      <c r="N302" s="1" t="e">
        <v>#VALUE!</v>
      </c>
      <c r="O302" s="1" t="e">
        <v>#VALUE!</v>
      </c>
      <c r="P302" s="1" t="e">
        <v>#VALUE!</v>
      </c>
      <c r="S302" s="1">
        <f t="shared" si="241"/>
        <v>6</v>
      </c>
      <c r="T302" s="1">
        <v>211</v>
      </c>
    </row>
    <row r="303" spans="1:20" x14ac:dyDescent="0.3">
      <c r="A303" s="1">
        <f t="shared" si="304"/>
        <v>6212</v>
      </c>
      <c r="B303" s="59" t="s">
        <v>17</v>
      </c>
      <c r="C303" s="59"/>
      <c r="D303" s="59"/>
      <c r="E303" s="59"/>
      <c r="F303" s="59"/>
      <c r="G303" s="60" t="s">
        <v>29</v>
      </c>
      <c r="H303" s="61"/>
      <c r="J303" s="1" t="str">
        <f t="shared" ref="J303" si="329">CONCATENATE(J301,"2")</f>
        <v>122</v>
      </c>
      <c r="M303" s="1" t="e">
        <v>#VALUE!</v>
      </c>
      <c r="N303" s="1" t="e">
        <v>#VALUE!</v>
      </c>
      <c r="O303" s="1" t="e">
        <v>#VALUE!</v>
      </c>
      <c r="P303" s="1" t="e">
        <v>#VALUE!</v>
      </c>
      <c r="S303" s="1">
        <f t="shared" si="241"/>
        <v>6</v>
      </c>
      <c r="T303" s="1">
        <v>212</v>
      </c>
    </row>
    <row r="304" spans="1:20" x14ac:dyDescent="0.3">
      <c r="A304" s="1">
        <f t="shared" si="304"/>
        <v>6213</v>
      </c>
      <c r="B304" s="54" t="s">
        <v>18</v>
      </c>
      <c r="C304" s="54"/>
      <c r="D304" s="54"/>
      <c r="E304" s="54" t="str">
        <f>IF(D297="","",D297)</f>
        <v>E0094/26</v>
      </c>
      <c r="F304" s="54"/>
      <c r="G304" s="5" t="s">
        <v>18</v>
      </c>
      <c r="H304" s="20" t="s">
        <v>123</v>
      </c>
      <c r="J304" s="1" t="str">
        <f t="shared" ref="J304" si="330">CONCATENATE(J301,"3")</f>
        <v>123</v>
      </c>
      <c r="M304" s="1" t="e">
        <v>#VALUE!</v>
      </c>
      <c r="N304" s="1" t="e">
        <v>#VALUE!</v>
      </c>
      <c r="O304" s="1" t="e">
        <v>#VALUE!</v>
      </c>
      <c r="P304" s="1" t="e">
        <v>#VALUE!</v>
      </c>
      <c r="S304" s="1">
        <f t="shared" si="241"/>
        <v>6</v>
      </c>
      <c r="T304" s="1">
        <v>213</v>
      </c>
    </row>
    <row r="305" spans="1:20" ht="15" customHeight="1" x14ac:dyDescent="0.3">
      <c r="A305" s="1">
        <f t="shared" si="304"/>
        <v>6214</v>
      </c>
      <c r="B305" s="6" t="s">
        <v>19</v>
      </c>
      <c r="C305" s="6" t="s">
        <v>20</v>
      </c>
      <c r="D305" s="6" t="s">
        <v>21</v>
      </c>
      <c r="E305" s="6"/>
      <c r="F305" s="55" t="s">
        <v>31</v>
      </c>
      <c r="G305" s="6" t="s">
        <v>19</v>
      </c>
      <c r="H305" s="6" t="s">
        <v>20</v>
      </c>
      <c r="J305" s="1">
        <f t="shared" ref="J305" si="331">J301-1</f>
        <v>11</v>
      </c>
      <c r="M305" s="1" t="s">
        <v>2</v>
      </c>
      <c r="N305" s="1" t="s">
        <v>3</v>
      </c>
      <c r="O305" s="1" t="s">
        <v>4</v>
      </c>
      <c r="P305" s="1" t="s">
        <v>5</v>
      </c>
      <c r="S305" s="1">
        <f t="shared" ref="S305:S368" si="332">S304</f>
        <v>6</v>
      </c>
      <c r="T305" s="1">
        <v>214</v>
      </c>
    </row>
    <row r="306" spans="1:20" x14ac:dyDescent="0.3">
      <c r="A306" s="1">
        <f t="shared" si="304"/>
        <v>6215</v>
      </c>
      <c r="B306" s="6" t="s">
        <v>22</v>
      </c>
      <c r="C306" s="6" t="s">
        <v>23</v>
      </c>
      <c r="D306" s="6" t="s">
        <v>24</v>
      </c>
      <c r="E306" s="6" t="s">
        <v>30</v>
      </c>
      <c r="F306" s="55"/>
      <c r="G306" s="6" t="s">
        <v>22</v>
      </c>
      <c r="H306" s="6" t="s">
        <v>23</v>
      </c>
      <c r="J306" s="1" t="str">
        <f t="shared" ref="J306" si="333">CONCATENATE(J305,"1")</f>
        <v>111</v>
      </c>
      <c r="M306" s="1">
        <f t="array" ref="M306:P308">LINEST($B308:$B320,$C308:$C320^{1,2,3},TRUE,TRUE)</f>
        <v>-2.3310023309462804E-10</v>
      </c>
      <c r="N306" s="1">
        <v>8.9910089908734612E-7</v>
      </c>
      <c r="O306" s="1">
        <v>0.99883674658675758</v>
      </c>
      <c r="P306" s="1">
        <v>0.40109890109578289</v>
      </c>
      <c r="S306" s="1">
        <f t="shared" si="332"/>
        <v>6</v>
      </c>
      <c r="T306" s="1">
        <v>215</v>
      </c>
    </row>
    <row r="307" spans="1:20" x14ac:dyDescent="0.3">
      <c r="A307" s="1">
        <f t="shared" si="304"/>
        <v>6216</v>
      </c>
      <c r="B307" s="7" t="str">
        <f>IF(H300="","",H300)</f>
        <v>hPa</v>
      </c>
      <c r="C307" s="7" t="str">
        <f>IF(H300="","",H300)</f>
        <v>hPa</v>
      </c>
      <c r="D307" s="7" t="str">
        <f>IF(H300="","",H300)</f>
        <v>hPa</v>
      </c>
      <c r="E307" s="7"/>
      <c r="F307" s="7" t="str">
        <f>IF(I300="","",I300)</f>
        <v/>
      </c>
      <c r="G307" s="7" t="str">
        <f>IF(H300="","",H300)</f>
        <v>hPa</v>
      </c>
      <c r="H307" s="7" t="str">
        <f>IF(H300="","",H300)</f>
        <v>hPa</v>
      </c>
      <c r="J307" s="1" t="str">
        <f t="shared" ref="J307" si="334">CONCATENATE(J305,"2")</f>
        <v>112</v>
      </c>
      <c r="M307" s="1">
        <v>2.1534879765207037E-9</v>
      </c>
      <c r="N307" s="1">
        <v>5.1798948394355754E-6</v>
      </c>
      <c r="O307" s="1">
        <v>4.0384887536297322E-3</v>
      </c>
      <c r="P307" s="1">
        <v>1.0176988486596898</v>
      </c>
      <c r="S307" s="1">
        <f t="shared" si="332"/>
        <v>6</v>
      </c>
      <c r="T307" s="1">
        <v>216</v>
      </c>
    </row>
    <row r="308" spans="1:20" x14ac:dyDescent="0.3">
      <c r="A308" s="1">
        <f t="shared" si="304"/>
        <v>6217</v>
      </c>
      <c r="B308" s="24">
        <v>500</v>
      </c>
      <c r="C308" s="24">
        <v>500</v>
      </c>
      <c r="D308" s="21">
        <v>0.3</v>
      </c>
      <c r="E308" s="24">
        <v>2</v>
      </c>
      <c r="F308" s="24">
        <v>1000000</v>
      </c>
      <c r="G308" s="25">
        <v>500.4</v>
      </c>
      <c r="H308" s="25">
        <v>500</v>
      </c>
      <c r="J308" s="1" t="str">
        <f t="shared" ref="J308" si="335">CONCATENATE(J305,"3")</f>
        <v>113</v>
      </c>
      <c r="M308" s="1">
        <v>0.99999997047452893</v>
      </c>
      <c r="N308" s="1">
        <v>3.8627956095552779E-2</v>
      </c>
      <c r="O308" s="1" t="e">
        <v>#N/A</v>
      </c>
      <c r="P308" s="1" t="e">
        <v>#N/A</v>
      </c>
      <c r="S308" s="1">
        <f t="shared" si="332"/>
        <v>6</v>
      </c>
      <c r="T308" s="1">
        <v>217</v>
      </c>
    </row>
    <row r="309" spans="1:20" x14ac:dyDescent="0.3">
      <c r="A309" s="1">
        <f t="shared" si="304"/>
        <v>6218</v>
      </c>
      <c r="B309" s="24">
        <v>550</v>
      </c>
      <c r="C309" s="24">
        <v>550</v>
      </c>
      <c r="D309" s="21">
        <v>0.3</v>
      </c>
      <c r="E309" s="24">
        <v>2</v>
      </c>
      <c r="F309" s="24">
        <v>1000000</v>
      </c>
      <c r="G309" s="25">
        <v>550.4</v>
      </c>
      <c r="H309" s="25">
        <v>550</v>
      </c>
      <c r="J309" s="1">
        <f t="shared" ref="J309" si="336">J305-1</f>
        <v>10</v>
      </c>
      <c r="M309" s="1" t="s">
        <v>2</v>
      </c>
      <c r="N309" s="1" t="s">
        <v>3</v>
      </c>
      <c r="O309" s="1" t="s">
        <v>4</v>
      </c>
      <c r="P309" s="1" t="s">
        <v>5</v>
      </c>
      <c r="S309" s="1">
        <f t="shared" si="332"/>
        <v>6</v>
      </c>
      <c r="T309" s="1">
        <v>218</v>
      </c>
    </row>
    <row r="310" spans="1:20" x14ac:dyDescent="0.3">
      <c r="A310" s="1">
        <f t="shared" si="304"/>
        <v>6219</v>
      </c>
      <c r="B310" s="24">
        <v>600</v>
      </c>
      <c r="C310" s="24">
        <v>600</v>
      </c>
      <c r="D310" s="21">
        <v>0.3</v>
      </c>
      <c r="E310" s="24">
        <v>2</v>
      </c>
      <c r="F310" s="24">
        <v>1000000</v>
      </c>
      <c r="G310" s="25">
        <v>600.29999999999995</v>
      </c>
      <c r="H310" s="25">
        <v>600</v>
      </c>
      <c r="J310" s="1" t="str">
        <f t="shared" ref="J310" si="337">CONCATENATE(J309,"1")</f>
        <v>101</v>
      </c>
      <c r="M310" s="1">
        <f t="array" ref="M310:P312">LINEST($B308:$B319,$C308:$C319^{1,2,3},TRUE,TRUE)</f>
        <v>-3.108003108013553E-10</v>
      </c>
      <c r="N310" s="1">
        <v>1.0722610722649889E-6</v>
      </c>
      <c r="O310" s="1">
        <v>0.99871173271172853</v>
      </c>
      <c r="P310" s="1">
        <v>0.43030303030427591</v>
      </c>
      <c r="S310" s="1">
        <f t="shared" si="332"/>
        <v>6</v>
      </c>
      <c r="T310" s="1">
        <v>219</v>
      </c>
    </row>
    <row r="311" spans="1:20" x14ac:dyDescent="0.3">
      <c r="A311" s="1">
        <f t="shared" si="304"/>
        <v>6220</v>
      </c>
      <c r="B311" s="24">
        <v>650</v>
      </c>
      <c r="C311" s="24">
        <v>650</v>
      </c>
      <c r="D311" s="21">
        <v>0.3</v>
      </c>
      <c r="E311" s="24">
        <v>2</v>
      </c>
      <c r="F311" s="24">
        <v>1000000</v>
      </c>
      <c r="G311" s="25">
        <v>650.29999999999995</v>
      </c>
      <c r="H311" s="25">
        <v>650</v>
      </c>
      <c r="J311" s="1" t="str">
        <f t="shared" ref="J311" si="338">CONCATENATE(J309,"2")</f>
        <v>102</v>
      </c>
      <c r="M311" s="1">
        <v>3.045208693436987E-9</v>
      </c>
      <c r="N311" s="1">
        <v>7.0943046185989019E-6</v>
      </c>
      <c r="O311" s="1">
        <v>5.3709388516057343E-3</v>
      </c>
      <c r="P311" s="1">
        <v>1.3183680290619064</v>
      </c>
      <c r="S311" s="1">
        <f t="shared" si="332"/>
        <v>6</v>
      </c>
      <c r="T311" s="1">
        <v>220</v>
      </c>
    </row>
    <row r="312" spans="1:20" x14ac:dyDescent="0.3">
      <c r="A312" s="1">
        <f t="shared" si="304"/>
        <v>6221</v>
      </c>
      <c r="B312" s="24">
        <v>699.9</v>
      </c>
      <c r="C312" s="24">
        <v>700</v>
      </c>
      <c r="D312" s="21">
        <v>0.3</v>
      </c>
      <c r="E312" s="24">
        <v>2</v>
      </c>
      <c r="F312" s="24">
        <v>1000000</v>
      </c>
      <c r="G312" s="25">
        <v>700.4</v>
      </c>
      <c r="H312" s="25">
        <v>700</v>
      </c>
      <c r="J312" s="1" t="str">
        <f t="shared" ref="J312" si="339">CONCATENATE(J309,"3")</f>
        <v>103</v>
      </c>
      <c r="M312" s="1">
        <v>0.99999996242791533</v>
      </c>
      <c r="N312" s="1">
        <v>4.0967324519939688E-2</v>
      </c>
      <c r="O312" s="1" t="e">
        <v>#N/A</v>
      </c>
      <c r="P312" s="1" t="e">
        <v>#N/A</v>
      </c>
      <c r="S312" s="1">
        <f t="shared" si="332"/>
        <v>6</v>
      </c>
      <c r="T312" s="1">
        <v>221</v>
      </c>
    </row>
    <row r="313" spans="1:20" x14ac:dyDescent="0.3">
      <c r="A313" s="1">
        <f t="shared" si="304"/>
        <v>6222</v>
      </c>
      <c r="B313" s="24">
        <v>749.9</v>
      </c>
      <c r="C313" s="24">
        <v>750</v>
      </c>
      <c r="D313" s="21">
        <v>0.3</v>
      </c>
      <c r="E313" s="24">
        <v>2</v>
      </c>
      <c r="F313" s="24">
        <v>1000000</v>
      </c>
      <c r="G313" s="25">
        <v>750.4</v>
      </c>
      <c r="H313" s="25">
        <v>750</v>
      </c>
      <c r="J313" s="1">
        <f t="shared" ref="J313" si="340">J309-1</f>
        <v>9</v>
      </c>
      <c r="M313" s="1" t="s">
        <v>2</v>
      </c>
      <c r="N313" s="1" t="s">
        <v>3</v>
      </c>
      <c r="O313" s="1" t="s">
        <v>4</v>
      </c>
      <c r="P313" s="1" t="s">
        <v>5</v>
      </c>
      <c r="S313" s="1">
        <f t="shared" si="332"/>
        <v>6</v>
      </c>
      <c r="T313" s="1">
        <v>222</v>
      </c>
    </row>
    <row r="314" spans="1:20" x14ac:dyDescent="0.3">
      <c r="A314" s="1">
        <f t="shared" si="304"/>
        <v>6223</v>
      </c>
      <c r="B314" s="24">
        <v>799.9</v>
      </c>
      <c r="C314" s="24">
        <v>800</v>
      </c>
      <c r="D314" s="21">
        <v>0.3</v>
      </c>
      <c r="E314" s="24">
        <v>2</v>
      </c>
      <c r="F314" s="24">
        <v>1000000</v>
      </c>
      <c r="G314" s="25">
        <v>800.4</v>
      </c>
      <c r="H314" s="25">
        <v>800</v>
      </c>
      <c r="J314" s="1" t="str">
        <f t="shared" ref="J314" si="341">CONCATENATE(J313,"1")</f>
        <v>91</v>
      </c>
      <c r="M314" s="1">
        <f t="array" ref="M314:P316">LINEST($B308:$B318,$C308:$C318^{1,2,3},TRUE,TRUE)</f>
        <v>-3.1080031079295326E-10</v>
      </c>
      <c r="N314" s="1">
        <v>1.0722610722437921E-6</v>
      </c>
      <c r="O314" s="1">
        <v>0.99871173271174607</v>
      </c>
      <c r="P314" s="1">
        <v>0.43030303029959183</v>
      </c>
      <c r="S314" s="1">
        <f t="shared" si="332"/>
        <v>6</v>
      </c>
      <c r="T314" s="1">
        <v>223</v>
      </c>
    </row>
    <row r="315" spans="1:20" x14ac:dyDescent="0.3">
      <c r="A315" s="1">
        <f t="shared" si="304"/>
        <v>6224</v>
      </c>
      <c r="B315" s="24">
        <v>850</v>
      </c>
      <c r="C315" s="24">
        <v>850</v>
      </c>
      <c r="D315" s="21">
        <v>0.3</v>
      </c>
      <c r="E315" s="24">
        <v>2</v>
      </c>
      <c r="F315" s="24">
        <v>1000000</v>
      </c>
      <c r="G315" s="25">
        <v>850.4</v>
      </c>
      <c r="H315" s="25">
        <v>850</v>
      </c>
      <c r="J315" s="1" t="str">
        <f t="shared" ref="J315" si="342">CONCATENATE(J313,"2")</f>
        <v>92</v>
      </c>
      <c r="M315" s="1">
        <v>4.4577290791044505E-9</v>
      </c>
      <c r="N315" s="1">
        <v>1.004770552271283E-5</v>
      </c>
      <c r="O315" s="1">
        <v>7.3792585272195749E-3</v>
      </c>
      <c r="P315" s="1">
        <v>1.76257263361336</v>
      </c>
      <c r="S315" s="1">
        <f t="shared" si="332"/>
        <v>6</v>
      </c>
      <c r="T315" s="1">
        <v>224</v>
      </c>
    </row>
    <row r="316" spans="1:20" x14ac:dyDescent="0.3">
      <c r="A316" s="1">
        <f t="shared" si="304"/>
        <v>6225</v>
      </c>
      <c r="B316" s="24">
        <v>899.9</v>
      </c>
      <c r="C316" s="24">
        <v>900</v>
      </c>
      <c r="D316" s="21">
        <v>0.3</v>
      </c>
      <c r="E316" s="24">
        <v>2</v>
      </c>
      <c r="F316" s="24">
        <v>1000000</v>
      </c>
      <c r="G316" s="25">
        <v>900.4</v>
      </c>
      <c r="H316" s="25">
        <v>900</v>
      </c>
      <c r="J316" s="1" t="str">
        <f t="shared" ref="J316" si="343">CONCATENATE(J313,"3")</f>
        <v>93</v>
      </c>
      <c r="M316" s="1">
        <v>0.99999995115478724</v>
      </c>
      <c r="N316" s="1">
        <v>4.3795912116126219E-2</v>
      </c>
      <c r="O316" s="1" t="e">
        <v>#N/A</v>
      </c>
      <c r="P316" s="1" t="e">
        <v>#N/A</v>
      </c>
      <c r="S316" s="1">
        <f t="shared" si="332"/>
        <v>6</v>
      </c>
      <c r="T316" s="1">
        <v>225</v>
      </c>
    </row>
    <row r="317" spans="1:20" x14ac:dyDescent="0.3">
      <c r="A317" s="1">
        <f t="shared" si="304"/>
        <v>6226</v>
      </c>
      <c r="B317" s="24">
        <v>949.9</v>
      </c>
      <c r="C317" s="24">
        <v>950</v>
      </c>
      <c r="D317" s="21">
        <v>0.3</v>
      </c>
      <c r="E317" s="24">
        <v>2</v>
      </c>
      <c r="F317" s="24">
        <v>1000000</v>
      </c>
      <c r="G317" s="25">
        <v>950.4</v>
      </c>
      <c r="H317" s="25">
        <v>950</v>
      </c>
      <c r="J317" s="1">
        <f t="shared" ref="J317" si="344">J313-1</f>
        <v>8</v>
      </c>
      <c r="M317" s="1" t="s">
        <v>2</v>
      </c>
      <c r="N317" s="1" t="s">
        <v>3</v>
      </c>
      <c r="O317" s="1" t="s">
        <v>4</v>
      </c>
      <c r="P317" s="1" t="s">
        <v>5</v>
      </c>
      <c r="S317" s="1">
        <f t="shared" si="332"/>
        <v>6</v>
      </c>
      <c r="T317" s="1">
        <v>226</v>
      </c>
    </row>
    <row r="318" spans="1:20" x14ac:dyDescent="0.3">
      <c r="A318" s="1">
        <f t="shared" si="304"/>
        <v>6227</v>
      </c>
      <c r="B318" s="24">
        <v>999.9</v>
      </c>
      <c r="C318" s="24">
        <v>1000</v>
      </c>
      <c r="D318" s="21">
        <v>0.3</v>
      </c>
      <c r="E318" s="24">
        <v>2</v>
      </c>
      <c r="F318" s="24">
        <v>1000000</v>
      </c>
      <c r="G318" s="25">
        <v>1000.4</v>
      </c>
      <c r="H318" s="25">
        <v>1000</v>
      </c>
      <c r="J318" s="1" t="str">
        <f t="shared" ref="J318" si="345">CONCATENATE(J317,"1")</f>
        <v>81</v>
      </c>
      <c r="M318" s="1">
        <f t="array" ref="M318:P320">LINEST($B308:$B317,$C308:$C317^{1,2,3},TRUE,TRUE)</f>
        <v>4.6620046619624907E-10</v>
      </c>
      <c r="N318" s="1">
        <v>-5.5944055943180136E-7</v>
      </c>
      <c r="O318" s="1">
        <v>0.99982867132866526</v>
      </c>
      <c r="P318" s="1">
        <v>0.18123543123677904</v>
      </c>
      <c r="S318" s="1">
        <f t="shared" si="332"/>
        <v>6</v>
      </c>
      <c r="T318" s="1">
        <v>227</v>
      </c>
    </row>
    <row r="319" spans="1:20" x14ac:dyDescent="0.3">
      <c r="A319" s="1">
        <f t="shared" si="304"/>
        <v>6228</v>
      </c>
      <c r="B319" s="24">
        <v>1049.9000000000001</v>
      </c>
      <c r="C319" s="24">
        <v>1050</v>
      </c>
      <c r="D319" s="21">
        <v>0.3</v>
      </c>
      <c r="E319" s="24">
        <v>2</v>
      </c>
      <c r="F319" s="24">
        <v>1000000</v>
      </c>
      <c r="G319" s="25">
        <v>1050.4000000000001</v>
      </c>
      <c r="H319" s="25">
        <v>1050</v>
      </c>
      <c r="J319" s="1" t="str">
        <f t="shared" ref="J319" si="346">CONCATENATE(J317,"2")</f>
        <v>82</v>
      </c>
      <c r="M319" s="1">
        <v>6.7945004621714575E-9</v>
      </c>
      <c r="N319" s="1">
        <v>1.4800864456041381E-5</v>
      </c>
      <c r="O319" s="1">
        <v>1.0533345407885229E-2</v>
      </c>
      <c r="P319" s="1">
        <v>2.4455061721161337</v>
      </c>
      <c r="S319" s="1">
        <f t="shared" si="332"/>
        <v>6</v>
      </c>
      <c r="T319" s="1">
        <v>228</v>
      </c>
    </row>
    <row r="320" spans="1:20" x14ac:dyDescent="0.3">
      <c r="A320" s="1">
        <f t="shared" si="304"/>
        <v>6229</v>
      </c>
      <c r="B320" s="24">
        <v>1099.9000000000001</v>
      </c>
      <c r="C320" s="24">
        <v>1100</v>
      </c>
      <c r="D320" s="21">
        <v>0.3</v>
      </c>
      <c r="E320" s="24">
        <v>2</v>
      </c>
      <c r="F320" s="24">
        <v>1000000</v>
      </c>
      <c r="G320" s="25">
        <v>1099.8999999999999</v>
      </c>
      <c r="H320" s="25">
        <v>1099.5999999999999</v>
      </c>
      <c r="J320" s="1" t="str">
        <f t="shared" ref="J320" si="347">CONCATENATE(J317,"3")</f>
        <v>83</v>
      </c>
      <c r="M320" s="1">
        <v>0.99999993515414742</v>
      </c>
      <c r="N320" s="1">
        <v>4.7202221643168056E-2</v>
      </c>
      <c r="O320" s="1" t="e">
        <v>#N/A</v>
      </c>
      <c r="P320" s="1" t="e">
        <v>#N/A</v>
      </c>
      <c r="S320" s="1">
        <f t="shared" si="332"/>
        <v>6</v>
      </c>
      <c r="T320" s="1">
        <v>229</v>
      </c>
    </row>
    <row r="321" spans="1:20" x14ac:dyDescent="0.3">
      <c r="A321" s="1">
        <f t="shared" si="304"/>
        <v>6230</v>
      </c>
      <c r="B321" s="24"/>
      <c r="C321" s="24"/>
      <c r="D321" s="24"/>
      <c r="E321" s="24"/>
      <c r="F321" s="24"/>
      <c r="G321" s="25"/>
      <c r="H321" s="25"/>
      <c r="J321" s="1">
        <f t="shared" ref="J321" si="348">J317-1</f>
        <v>7</v>
      </c>
      <c r="M321" s="1" t="s">
        <v>2</v>
      </c>
      <c r="N321" s="1" t="s">
        <v>3</v>
      </c>
      <c r="O321" s="1" t="s">
        <v>4</v>
      </c>
      <c r="P321" s="1" t="s">
        <v>5</v>
      </c>
      <c r="S321" s="1">
        <f t="shared" si="332"/>
        <v>6</v>
      </c>
      <c r="T321" s="1">
        <v>230</v>
      </c>
    </row>
    <row r="322" spans="1:20" x14ac:dyDescent="0.3">
      <c r="A322" s="1">
        <f t="shared" si="304"/>
        <v>6231</v>
      </c>
      <c r="B322" s="24"/>
      <c r="C322" s="24"/>
      <c r="D322" s="24"/>
      <c r="E322" s="24"/>
      <c r="F322" s="24"/>
      <c r="G322" s="25"/>
      <c r="H322" s="25"/>
      <c r="J322" s="1" t="str">
        <f t="shared" ref="J322" si="349">CONCATENATE(J321,"1")</f>
        <v>71</v>
      </c>
      <c r="M322" s="1">
        <f t="array" ref="M322:P324">LINEST($B308:$B316,$C308:$C316^{1,2,3},TRUE,TRUE)</f>
        <v>5.3872053872033321E-9</v>
      </c>
      <c r="N322" s="1">
        <v>-1.0577200577195583E-5</v>
      </c>
      <c r="O322" s="1">
        <v>1.0064966329966294</v>
      </c>
      <c r="P322" s="1">
        <v>-1.2693362193355262</v>
      </c>
      <c r="S322" s="1">
        <f t="shared" si="332"/>
        <v>6</v>
      </c>
      <c r="T322" s="1">
        <v>231</v>
      </c>
    </row>
    <row r="323" spans="1:20" x14ac:dyDescent="0.3">
      <c r="A323" s="1">
        <f t="shared" si="304"/>
        <v>6232</v>
      </c>
      <c r="B323" s="2">
        <f t="shared" ref="B323" si="350">COUNT(B308:B322)-2</f>
        <v>11</v>
      </c>
      <c r="J323" s="1" t="str">
        <f t="shared" ref="J323" si="351">CONCATENATE(J321,"2")</f>
        <v>72</v>
      </c>
      <c r="M323" s="1">
        <v>1.0537314325288954E-8</v>
      </c>
      <c r="N323" s="1">
        <v>2.2157372440347285E-5</v>
      </c>
      <c r="O323" s="1">
        <v>1.5262268585293545E-2</v>
      </c>
      <c r="P323" s="1">
        <v>3.4400301164530864</v>
      </c>
      <c r="S323" s="1">
        <f t="shared" si="332"/>
        <v>6</v>
      </c>
      <c r="T323" s="1">
        <v>232</v>
      </c>
    </row>
    <row r="324" spans="1:20" x14ac:dyDescent="0.3">
      <c r="A324" s="1">
        <f t="shared" si="304"/>
        <v>6233</v>
      </c>
      <c r="J324" s="1" t="str">
        <f t="shared" ref="J324" si="352">CONCATENATE(J321,"3")</f>
        <v>73</v>
      </c>
      <c r="M324" s="1">
        <v>0.99999991751803818</v>
      </c>
      <c r="N324" s="1">
        <v>4.9732328251408935E-2</v>
      </c>
      <c r="O324" s="1" t="e">
        <v>#N/A</v>
      </c>
      <c r="P324" s="1" t="e">
        <v>#N/A</v>
      </c>
      <c r="S324" s="1">
        <f t="shared" si="332"/>
        <v>6</v>
      </c>
      <c r="T324" s="1">
        <v>233</v>
      </c>
    </row>
    <row r="325" spans="1:20" x14ac:dyDescent="0.3">
      <c r="A325" s="1">
        <f t="shared" si="304"/>
        <v>6234</v>
      </c>
      <c r="B325" s="54" t="s">
        <v>25</v>
      </c>
      <c r="C325" s="54"/>
      <c r="D325" s="54"/>
      <c r="E325" s="54"/>
      <c r="F325" s="54"/>
      <c r="G325" s="54"/>
      <c r="H325" s="54"/>
      <c r="J325" s="1">
        <f t="shared" ref="J325" si="353">J321-1</f>
        <v>6</v>
      </c>
      <c r="M325" s="1" t="s">
        <v>2</v>
      </c>
      <c r="N325" s="1" t="s">
        <v>3</v>
      </c>
      <c r="O325" s="1" t="s">
        <v>4</v>
      </c>
      <c r="P325" s="1" t="s">
        <v>5</v>
      </c>
      <c r="S325" s="1">
        <f t="shared" si="332"/>
        <v>6</v>
      </c>
      <c r="T325" s="1">
        <v>234</v>
      </c>
    </row>
    <row r="326" spans="1:20" x14ac:dyDescent="0.3">
      <c r="A326" s="1">
        <f t="shared" si="304"/>
        <v>6235</v>
      </c>
      <c r="B326" s="56"/>
      <c r="C326" s="56"/>
      <c r="D326" s="56"/>
      <c r="E326" s="56"/>
      <c r="F326" s="56"/>
      <c r="G326" s="56"/>
      <c r="H326" s="56"/>
      <c r="J326" s="1" t="str">
        <f t="shared" ref="J326" si="354">CONCATENATE(J325,"1")</f>
        <v>61</v>
      </c>
      <c r="M326" s="1">
        <f t="array" ref="M326:P328">LINEST($B308:$B315,$C308:$C315^{1,2,3},TRUE,TRUE)</f>
        <v>3.0303030303040582E-8</v>
      </c>
      <c r="N326" s="1">
        <v>-5.9696969696990015E-5</v>
      </c>
      <c r="O326" s="1">
        <v>1.0382554112554243</v>
      </c>
      <c r="P326" s="1">
        <v>-8.0019480519507713</v>
      </c>
      <c r="S326" s="1">
        <f t="shared" si="332"/>
        <v>6</v>
      </c>
      <c r="T326" s="1">
        <v>235</v>
      </c>
    </row>
    <row r="327" spans="1:20" x14ac:dyDescent="0.3">
      <c r="A327" s="1">
        <f t="shared" si="304"/>
        <v>6236</v>
      </c>
      <c r="B327" s="56"/>
      <c r="C327" s="56"/>
      <c r="D327" s="56"/>
      <c r="E327" s="56"/>
      <c r="F327" s="56"/>
      <c r="G327" s="56"/>
      <c r="H327" s="56"/>
      <c r="J327" s="1" t="str">
        <f t="shared" ref="J327" si="355">CONCATENATE(J325,"2")</f>
        <v>62</v>
      </c>
      <c r="M327" s="1">
        <v>8.1883180139186314E-9</v>
      </c>
      <c r="N327" s="1">
        <v>1.6599205686714278E-5</v>
      </c>
      <c r="O327" s="1">
        <v>1.1052294442701784E-2</v>
      </c>
      <c r="P327" s="1">
        <v>2.4152030156128164</v>
      </c>
      <c r="S327" s="1">
        <f t="shared" si="332"/>
        <v>6</v>
      </c>
      <c r="T327" s="1">
        <v>236</v>
      </c>
    </row>
    <row r="328" spans="1:20" x14ac:dyDescent="0.3">
      <c r="A328" s="1">
        <f t="shared" si="304"/>
        <v>6237</v>
      </c>
      <c r="J328" s="1" t="str">
        <f t="shared" ref="J328" si="356">CONCATENATE(J325,"3")</f>
        <v>63</v>
      </c>
      <c r="M328" s="1">
        <v>0.99999997628338766</v>
      </c>
      <c r="N328" s="1">
        <v>2.4945828755417787E-2</v>
      </c>
      <c r="O328" s="1" t="e">
        <v>#N/A</v>
      </c>
      <c r="P328" s="1" t="e">
        <v>#N/A</v>
      </c>
      <c r="S328" s="1">
        <f t="shared" si="332"/>
        <v>6</v>
      </c>
      <c r="T328" s="1">
        <v>237</v>
      </c>
    </row>
    <row r="329" spans="1:20" ht="15" customHeight="1" x14ac:dyDescent="0.3">
      <c r="A329" s="1">
        <f t="shared" si="304"/>
        <v>6238</v>
      </c>
      <c r="J329" s="1">
        <f t="shared" ref="J329" si="357">J325-1</f>
        <v>5</v>
      </c>
      <c r="M329" s="1" t="s">
        <v>2</v>
      </c>
      <c r="N329" s="1" t="s">
        <v>3</v>
      </c>
      <c r="O329" s="1" t="s">
        <v>4</v>
      </c>
      <c r="P329" s="1" t="s">
        <v>5</v>
      </c>
      <c r="S329" s="1">
        <f t="shared" si="332"/>
        <v>6</v>
      </c>
      <c r="T329" s="1">
        <v>238</v>
      </c>
    </row>
    <row r="330" spans="1:20" x14ac:dyDescent="0.3">
      <c r="A330" s="1">
        <f t="shared" si="304"/>
        <v>6239</v>
      </c>
      <c r="J330" s="1" t="str">
        <f t="shared" ref="J330" si="358">CONCATENATE(J329,"1")</f>
        <v>51</v>
      </c>
      <c r="M330" s="1">
        <f t="array" ref="M330:P332">LINEST($B308:$B314,$C308:$C314^{1,2,3},TRUE,TRUE)</f>
        <v>2.2222222222213307E-8</v>
      </c>
      <c r="N330" s="1">
        <v>-4.4285714285696881E-5</v>
      </c>
      <c r="O330" s="1">
        <v>1.0285873015872902</v>
      </c>
      <c r="P330" s="1">
        <v>-6.0071428571403791</v>
      </c>
      <c r="S330" s="1">
        <f t="shared" si="332"/>
        <v>6</v>
      </c>
      <c r="T330" s="1">
        <v>239</v>
      </c>
    </row>
    <row r="331" spans="1:20" x14ac:dyDescent="0.3">
      <c r="A331" s="1">
        <f t="shared" si="304"/>
        <v>6240</v>
      </c>
      <c r="E331" s="26"/>
      <c r="F331" s="26"/>
      <c r="G331" s="26"/>
      <c r="H331" s="26"/>
      <c r="J331" s="1" t="str">
        <f t="shared" ref="J331" si="359">CONCATENATE(J329,"2")</f>
        <v>52</v>
      </c>
      <c r="M331" s="1">
        <v>1.4547859349072098E-8</v>
      </c>
      <c r="N331" s="1">
        <v>2.8392295591942723E-5</v>
      </c>
      <c r="O331" s="1">
        <v>1.8248215104432176E-2</v>
      </c>
      <c r="P331" s="1">
        <v>3.8604020621749897</v>
      </c>
      <c r="S331" s="1">
        <f t="shared" si="332"/>
        <v>6</v>
      </c>
      <c r="T331" s="1">
        <v>240</v>
      </c>
    </row>
    <row r="332" spans="1:20" x14ac:dyDescent="0.3">
      <c r="A332" s="1">
        <f t="shared" si="304"/>
        <v>6241</v>
      </c>
      <c r="B332" s="54" t="s">
        <v>90</v>
      </c>
      <c r="C332" s="54"/>
      <c r="D332" s="54"/>
      <c r="E332" s="27">
        <f t="shared" ref="E332" si="360">IF(D294="","",MAX(E333,E334))</f>
        <v>0.5</v>
      </c>
      <c r="F332" s="26"/>
      <c r="G332" s="26"/>
      <c r="H332" s="26"/>
      <c r="J332" s="1" t="str">
        <f t="shared" ref="J332" si="361">CONCATENATE(J329,"3")</f>
        <v>53</v>
      </c>
      <c r="M332" s="1">
        <v>0.99999996936150093</v>
      </c>
      <c r="N332" s="1">
        <v>2.6726124191254644E-2</v>
      </c>
      <c r="O332" s="1" t="e">
        <v>#N/A</v>
      </c>
      <c r="P332" s="1" t="e">
        <v>#N/A</v>
      </c>
      <c r="S332" s="1">
        <f t="shared" si="332"/>
        <v>6</v>
      </c>
      <c r="T332" s="1">
        <v>241</v>
      </c>
    </row>
    <row r="333" spans="1:20" x14ac:dyDescent="0.3">
      <c r="A333" s="1">
        <f t="shared" si="304"/>
        <v>6242</v>
      </c>
      <c r="B333" s="2" t="s">
        <v>26</v>
      </c>
      <c r="C333" s="2" t="s">
        <v>27</v>
      </c>
      <c r="D333" s="2" t="s">
        <v>28</v>
      </c>
      <c r="E333" s="28">
        <f t="shared" ref="E333" si="362">ABS(MIN(D334:D348))</f>
        <v>0.5</v>
      </c>
      <c r="F333" s="26"/>
      <c r="H333" s="26"/>
      <c r="J333" s="1">
        <f t="shared" ref="J333" si="363">J329-1</f>
        <v>4</v>
      </c>
      <c r="M333" s="1" t="s">
        <v>2</v>
      </c>
      <c r="N333" s="1" t="s">
        <v>3</v>
      </c>
      <c r="O333" s="1" t="s">
        <v>4</v>
      </c>
      <c r="P333" s="1" t="s">
        <v>5</v>
      </c>
      <c r="S333" s="1">
        <f t="shared" si="332"/>
        <v>6</v>
      </c>
      <c r="T333" s="1">
        <v>242</v>
      </c>
    </row>
    <row r="334" spans="1:20" x14ac:dyDescent="0.3">
      <c r="A334" s="1">
        <f t="shared" si="304"/>
        <v>6243</v>
      </c>
      <c r="B334" s="2">
        <f t="shared" ref="B334:B348" si="364">C308-B308</f>
        <v>0</v>
      </c>
      <c r="C334" s="2">
        <f t="shared" ref="C334:C348" si="365">H308-G308</f>
        <v>-0.39999999999997726</v>
      </c>
      <c r="D334" s="2">
        <f t="shared" ref="D334:D348" si="366">C334-B334</f>
        <v>-0.39999999999997726</v>
      </c>
      <c r="E334" s="28">
        <f t="shared" ref="E334" si="367">ABS(MAX(D334:D348))</f>
        <v>0</v>
      </c>
      <c r="F334" s="26"/>
      <c r="H334" s="26"/>
      <c r="J334" s="1" t="str">
        <f t="shared" ref="J334" si="368">CONCATENATE(J333,"1")</f>
        <v>41</v>
      </c>
      <c r="M334" s="1">
        <f t="array" ref="M334:P336">LINEST($B308:$B313,$C308:$C313^{1,2,3},TRUE,TRUE)</f>
        <v>1.4814814814823405E-8</v>
      </c>
      <c r="N334" s="1">
        <v>-3.0634920634936258E-5</v>
      </c>
      <c r="O334" s="1">
        <v>1.020288359788369</v>
      </c>
      <c r="P334" s="1">
        <v>-4.3428571428587865</v>
      </c>
      <c r="S334" s="1">
        <f t="shared" si="332"/>
        <v>6</v>
      </c>
      <c r="T334" s="1">
        <v>243</v>
      </c>
    </row>
    <row r="335" spans="1:20" x14ac:dyDescent="0.3">
      <c r="A335" s="1">
        <f t="shared" si="304"/>
        <v>6244</v>
      </c>
      <c r="B335" s="2">
        <f t="shared" si="364"/>
        <v>0</v>
      </c>
      <c r="C335" s="2">
        <f t="shared" si="365"/>
        <v>-0.39999999999997726</v>
      </c>
      <c r="D335" s="2">
        <f t="shared" si="366"/>
        <v>-0.39999999999997726</v>
      </c>
      <c r="E335" s="29" t="s">
        <v>32</v>
      </c>
      <c r="F335" s="26"/>
      <c r="H335" s="26"/>
      <c r="J335" s="1" t="str">
        <f t="shared" ref="J335" si="369">CONCATENATE(J333,"2")</f>
        <v>42</v>
      </c>
      <c r="M335" s="1">
        <v>3.1921911384136053E-8</v>
      </c>
      <c r="N335" s="1">
        <v>5.9890510665951716E-5</v>
      </c>
      <c r="O335" s="1">
        <v>3.7099027392755085E-2</v>
      </c>
      <c r="P335" s="1">
        <v>7.5851261243331347</v>
      </c>
      <c r="S335" s="1">
        <f t="shared" si="332"/>
        <v>6</v>
      </c>
      <c r="T335" s="1">
        <v>244</v>
      </c>
    </row>
    <row r="336" spans="1:20" x14ac:dyDescent="0.3">
      <c r="A336" s="1">
        <f t="shared" si="304"/>
        <v>6245</v>
      </c>
      <c r="B336" s="2">
        <f t="shared" si="364"/>
        <v>0</v>
      </c>
      <c r="C336" s="2">
        <f t="shared" si="365"/>
        <v>-0.29999999999995453</v>
      </c>
      <c r="D336" s="2">
        <f t="shared" si="366"/>
        <v>-0.29999999999995453</v>
      </c>
      <c r="E336" s="27">
        <f t="shared" ref="E336" si="370">IF(D294="","",MAX(E337,E338))</f>
        <v>0.10000000000002274</v>
      </c>
      <c r="F336" s="26"/>
      <c r="H336" s="26"/>
      <c r="J336" s="1" t="str">
        <f t="shared" ref="J336" si="371">CONCATENATE(J333,"3")</f>
        <v>43</v>
      </c>
      <c r="M336" s="1">
        <v>0.99999995279131926</v>
      </c>
      <c r="N336" s="1">
        <v>3.212080372199326E-2</v>
      </c>
      <c r="O336" s="1" t="e">
        <v>#N/A</v>
      </c>
      <c r="P336" s="1" t="e">
        <v>#N/A</v>
      </c>
      <c r="S336" s="1">
        <f t="shared" si="332"/>
        <v>6</v>
      </c>
      <c r="T336" s="1">
        <v>245</v>
      </c>
    </row>
    <row r="337" spans="1:20" x14ac:dyDescent="0.3">
      <c r="A337" s="1">
        <f t="shared" si="304"/>
        <v>6246</v>
      </c>
      <c r="B337" s="2">
        <f t="shared" si="364"/>
        <v>0</v>
      </c>
      <c r="C337" s="2">
        <f t="shared" si="365"/>
        <v>-0.29999999999995453</v>
      </c>
      <c r="D337" s="2">
        <f t="shared" si="366"/>
        <v>-0.29999999999995453</v>
      </c>
      <c r="E337" s="28">
        <f t="shared" ref="E337" si="372">ABS(MIN(B334:B348))</f>
        <v>0</v>
      </c>
      <c r="F337" s="26"/>
      <c r="H337" s="26"/>
      <c r="J337" s="1">
        <f t="shared" ref="J337" si="373">J333-1</f>
        <v>3</v>
      </c>
      <c r="M337" s="1" t="s">
        <v>2</v>
      </c>
      <c r="N337" s="1" t="s">
        <v>3</v>
      </c>
      <c r="O337" s="1" t="s">
        <v>4</v>
      </c>
      <c r="P337" s="1" t="s">
        <v>5</v>
      </c>
      <c r="S337" s="1">
        <f t="shared" si="332"/>
        <v>6</v>
      </c>
      <c r="T337" s="1">
        <v>246</v>
      </c>
    </row>
    <row r="338" spans="1:20" x14ac:dyDescent="0.3">
      <c r="A338" s="1">
        <f t="shared" si="304"/>
        <v>6247</v>
      </c>
      <c r="B338" s="2">
        <f t="shared" si="364"/>
        <v>0.10000000000002274</v>
      </c>
      <c r="C338" s="2">
        <f t="shared" si="365"/>
        <v>-0.39999999999997726</v>
      </c>
      <c r="D338" s="2">
        <f t="shared" si="366"/>
        <v>-0.5</v>
      </c>
      <c r="E338" s="28">
        <f t="shared" ref="E338" si="374">ABS(MAX(B334:B348))</f>
        <v>0.10000000000002274</v>
      </c>
      <c r="F338" s="26"/>
      <c r="H338" s="26"/>
      <c r="J338" s="1" t="str">
        <f t="shared" ref="J338" si="375">CONCATENATE(J337,"1")</f>
        <v>31</v>
      </c>
      <c r="M338" s="1">
        <f t="array" ref="M338:P340">LINEST($B308:$B312,$C308:$C312^{1,2,3},TRUE,TRUE)</f>
        <v>-6.6666666666732194E-8</v>
      </c>
      <c r="N338" s="1">
        <v>1.1428571428583112E-4</v>
      </c>
      <c r="O338" s="1">
        <v>0.93502380952374053</v>
      </c>
      <c r="P338" s="1">
        <v>12.251428571442048</v>
      </c>
      <c r="S338" s="1">
        <f t="shared" si="332"/>
        <v>6</v>
      </c>
      <c r="T338" s="1">
        <v>247</v>
      </c>
    </row>
    <row r="339" spans="1:20" x14ac:dyDescent="0.3">
      <c r="A339" s="1">
        <f t="shared" si="304"/>
        <v>6248</v>
      </c>
      <c r="B339" s="2">
        <f t="shared" si="364"/>
        <v>0.10000000000002274</v>
      </c>
      <c r="C339" s="2">
        <f t="shared" si="365"/>
        <v>-0.39999999999997726</v>
      </c>
      <c r="D339" s="2">
        <f t="shared" si="366"/>
        <v>-0.5</v>
      </c>
      <c r="E339" s="29" t="s">
        <v>33</v>
      </c>
      <c r="F339" s="26"/>
      <c r="J339" s="1" t="str">
        <f t="shared" ref="J339" si="376">CONCATENATE(J337,"2")</f>
        <v>32</v>
      </c>
      <c r="M339" s="1">
        <v>2.5197631533934094E-8</v>
      </c>
      <c r="N339" s="1">
        <v>4.537373149964337E-5</v>
      </c>
      <c r="O339" s="1">
        <v>2.7042871397527306E-2</v>
      </c>
      <c r="P339" s="1">
        <v>5.3336999448795774</v>
      </c>
      <c r="S339" s="1">
        <f t="shared" si="332"/>
        <v>6</v>
      </c>
      <c r="T339" s="1">
        <v>248</v>
      </c>
    </row>
    <row r="340" spans="1:20" x14ac:dyDescent="0.3">
      <c r="A340" s="1">
        <f t="shared" si="304"/>
        <v>6249</v>
      </c>
      <c r="B340" s="2">
        <f t="shared" si="364"/>
        <v>0.10000000000002274</v>
      </c>
      <c r="C340" s="2">
        <f t="shared" si="365"/>
        <v>-0.39999999999997726</v>
      </c>
      <c r="D340" s="2">
        <f t="shared" si="366"/>
        <v>-0.5</v>
      </c>
      <c r="E340" s="27">
        <f t="shared" ref="E340" si="377">IF(D294="","",MAX(E341,E342))</f>
        <v>0.3</v>
      </c>
      <c r="F340" s="26"/>
      <c r="J340" s="1" t="str">
        <f t="shared" ref="J340" si="378">CONCATENATE(J337,"3")</f>
        <v>33</v>
      </c>
      <c r="M340" s="1">
        <v>0.99999999428114106</v>
      </c>
      <c r="N340" s="1">
        <v>1.1952286093338593E-2</v>
      </c>
      <c r="O340" s="1" t="e">
        <v>#N/A</v>
      </c>
      <c r="P340" s="1" t="e">
        <v>#N/A</v>
      </c>
      <c r="S340" s="1">
        <f t="shared" si="332"/>
        <v>6</v>
      </c>
      <c r="T340" s="1">
        <v>249</v>
      </c>
    </row>
    <row r="341" spans="1:20" x14ac:dyDescent="0.3">
      <c r="A341" s="1">
        <f t="shared" si="304"/>
        <v>6250</v>
      </c>
      <c r="B341" s="2">
        <f t="shared" si="364"/>
        <v>0</v>
      </c>
      <c r="C341" s="2">
        <f t="shared" si="365"/>
        <v>-0.39999999999997726</v>
      </c>
      <c r="D341" s="2">
        <f t="shared" si="366"/>
        <v>-0.39999999999997726</v>
      </c>
      <c r="E341" s="28">
        <f t="shared" ref="E341" si="379">ABS(MIN(D308:D322))</f>
        <v>0.3</v>
      </c>
      <c r="F341" s="26"/>
      <c r="J341" s="1">
        <f t="shared" ref="J341" si="380">J337-1</f>
        <v>2</v>
      </c>
      <c r="N341" s="1" t="s">
        <v>3</v>
      </c>
      <c r="O341" s="1" t="s">
        <v>4</v>
      </c>
      <c r="P341" s="1" t="s">
        <v>5</v>
      </c>
      <c r="S341" s="1">
        <f t="shared" si="332"/>
        <v>6</v>
      </c>
      <c r="T341" s="1">
        <v>250</v>
      </c>
    </row>
    <row r="342" spans="1:20" x14ac:dyDescent="0.3">
      <c r="A342" s="1">
        <f t="shared" si="304"/>
        <v>6251</v>
      </c>
      <c r="B342" s="2">
        <f t="shared" si="364"/>
        <v>0.10000000000002274</v>
      </c>
      <c r="C342" s="2">
        <f t="shared" si="365"/>
        <v>-0.39999999999997726</v>
      </c>
      <c r="D342" s="2">
        <f t="shared" si="366"/>
        <v>-0.5</v>
      </c>
      <c r="E342" s="28">
        <f t="shared" ref="E342" si="381">ABS(MAX(D308:D322))</f>
        <v>0.3</v>
      </c>
      <c r="F342" s="26"/>
      <c r="J342" s="1" t="str">
        <f t="shared" ref="J342" si="382">CONCATENATE(J341,"1")</f>
        <v>21</v>
      </c>
      <c r="N342" s="1">
        <f t="array" ref="N342:P344">LINEST($B308:$B311,$C308:$C311^{1,2},TRUE,TRUE)</f>
        <v>-2.208865170640595E-19</v>
      </c>
      <c r="O342" s="1">
        <v>1.0000000000000002</v>
      </c>
      <c r="P342" s="1">
        <v>-3.9965962651486168E-14</v>
      </c>
      <c r="S342" s="1">
        <f t="shared" si="332"/>
        <v>6</v>
      </c>
      <c r="T342" s="1">
        <v>251</v>
      </c>
    </row>
    <row r="343" spans="1:20" x14ac:dyDescent="0.3">
      <c r="A343" s="1">
        <f t="shared" si="304"/>
        <v>6252</v>
      </c>
      <c r="B343" s="2">
        <f t="shared" si="364"/>
        <v>0.10000000000002274</v>
      </c>
      <c r="C343" s="2">
        <f t="shared" si="365"/>
        <v>-0.39999999999997726</v>
      </c>
      <c r="D343" s="2">
        <f t="shared" si="366"/>
        <v>-0.5</v>
      </c>
      <c r="E343" s="26"/>
      <c r="F343" s="26"/>
      <c r="J343" s="1" t="str">
        <f t="shared" ref="J343" si="383">CONCATENATE(J341,"2")</f>
        <v>22</v>
      </c>
      <c r="N343" s="1">
        <v>4.4408920985006294E-20</v>
      </c>
      <c r="O343" s="1">
        <v>5.1108860997023588E-17</v>
      </c>
      <c r="P343" s="1">
        <v>1.458910784796712E-14</v>
      </c>
      <c r="S343" s="1">
        <f t="shared" si="332"/>
        <v>6</v>
      </c>
      <c r="T343" s="1">
        <v>252</v>
      </c>
    </row>
    <row r="344" spans="1:20" x14ac:dyDescent="0.3">
      <c r="A344" s="1">
        <f t="shared" si="304"/>
        <v>6253</v>
      </c>
      <c r="B344" s="2">
        <f t="shared" si="364"/>
        <v>0.10000000000002274</v>
      </c>
      <c r="C344" s="2">
        <f t="shared" si="365"/>
        <v>-0.39999999999997726</v>
      </c>
      <c r="D344" s="2">
        <f t="shared" si="366"/>
        <v>-0.5</v>
      </c>
      <c r="E344" s="26"/>
      <c r="F344" s="26"/>
      <c r="J344" s="1" t="str">
        <f t="shared" ref="J344" si="384">CONCATENATE(J341,"3")</f>
        <v>23</v>
      </c>
      <c r="N344" s="1">
        <v>1</v>
      </c>
      <c r="O344" s="1">
        <v>2.2204460492503131E-16</v>
      </c>
      <c r="P344" s="1" t="e">
        <v>#N/A</v>
      </c>
      <c r="S344" s="1">
        <f t="shared" si="332"/>
        <v>6</v>
      </c>
      <c r="T344" s="1">
        <v>253</v>
      </c>
    </row>
    <row r="345" spans="1:20" x14ac:dyDescent="0.3">
      <c r="A345" s="1">
        <f t="shared" si="304"/>
        <v>6254</v>
      </c>
      <c r="B345" s="2">
        <f t="shared" si="364"/>
        <v>9.9999999999909051E-2</v>
      </c>
      <c r="C345" s="2">
        <f t="shared" si="365"/>
        <v>-0.40000000000009095</v>
      </c>
      <c r="D345" s="2">
        <f t="shared" si="366"/>
        <v>-0.5</v>
      </c>
      <c r="E345" s="26"/>
      <c r="F345" s="26"/>
      <c r="J345" s="1">
        <f t="shared" ref="J345" si="385">J341-1</f>
        <v>1</v>
      </c>
      <c r="O345" s="1" t="s">
        <v>4</v>
      </c>
      <c r="P345" s="1" t="s">
        <v>5</v>
      </c>
      <c r="S345" s="1">
        <f t="shared" si="332"/>
        <v>6</v>
      </c>
      <c r="T345" s="1">
        <v>254</v>
      </c>
    </row>
    <row r="346" spans="1:20" x14ac:dyDescent="0.3">
      <c r="A346" s="1">
        <f t="shared" si="304"/>
        <v>6255</v>
      </c>
      <c r="B346" s="2">
        <f t="shared" si="364"/>
        <v>9.9999999999909051E-2</v>
      </c>
      <c r="C346" s="2">
        <f t="shared" si="365"/>
        <v>-0.29999999999995453</v>
      </c>
      <c r="D346" s="2">
        <f t="shared" si="366"/>
        <v>-0.39999999999986358</v>
      </c>
      <c r="E346" s="26"/>
      <c r="F346" s="26"/>
      <c r="J346" s="1" t="str">
        <f t="shared" ref="J346" si="386">CONCATENATE(J345,"1")</f>
        <v>11</v>
      </c>
      <c r="O346" s="1">
        <f t="array" ref="O346:P348">LINEST($B308:$B310,$C308:$C310^{1},TRUE,TRUE)</f>
        <v>0.99999999999999978</v>
      </c>
      <c r="P346" s="1">
        <v>1.1368683772161603E-13</v>
      </c>
      <c r="S346" s="1">
        <f t="shared" si="332"/>
        <v>6</v>
      </c>
      <c r="T346" s="1">
        <v>255</v>
      </c>
    </row>
    <row r="347" spans="1:20" x14ac:dyDescent="0.3">
      <c r="A347" s="1">
        <f t="shared" si="304"/>
        <v>6256</v>
      </c>
      <c r="B347" s="2">
        <f t="shared" si="364"/>
        <v>0</v>
      </c>
      <c r="C347" s="2">
        <f t="shared" si="365"/>
        <v>0</v>
      </c>
      <c r="D347" s="2">
        <f t="shared" si="366"/>
        <v>0</v>
      </c>
      <c r="E347" s="26"/>
      <c r="F347" s="26"/>
      <c r="J347" s="1" t="str">
        <f t="shared" ref="J347" si="387">CONCATENATE(J345,"2")</f>
        <v>12</v>
      </c>
      <c r="O347" s="1">
        <v>2.0097183471152324E-16</v>
      </c>
      <c r="P347" s="1">
        <v>1.1083859359736524E-13</v>
      </c>
      <c r="S347" s="1">
        <f t="shared" si="332"/>
        <v>6</v>
      </c>
      <c r="T347" s="1">
        <v>256</v>
      </c>
    </row>
    <row r="348" spans="1:20" x14ac:dyDescent="0.3">
      <c r="A348" s="1">
        <f t="shared" si="304"/>
        <v>6257</v>
      </c>
      <c r="B348" s="2">
        <f t="shared" si="364"/>
        <v>0</v>
      </c>
      <c r="C348" s="2">
        <f t="shared" si="365"/>
        <v>0</v>
      </c>
      <c r="D348" s="2">
        <f t="shared" si="366"/>
        <v>0</v>
      </c>
      <c r="E348" s="30"/>
      <c r="F348" s="30"/>
      <c r="J348" s="1" t="str">
        <f t="shared" ref="J348" si="388">CONCATENATE(J345,"3")</f>
        <v>13</v>
      </c>
      <c r="O348" s="1">
        <v>1</v>
      </c>
      <c r="P348" s="1">
        <v>1.4210854715202004E-14</v>
      </c>
      <c r="S348" s="1">
        <f t="shared" si="332"/>
        <v>6</v>
      </c>
      <c r="T348" s="1">
        <v>257</v>
      </c>
    </row>
    <row r="349" spans="1:20" s="8" customFormat="1" x14ac:dyDescent="0.3"/>
    <row r="350" spans="1:20" x14ac:dyDescent="0.3">
      <c r="A350" s="1">
        <f t="shared" ref="A350:A406" si="389">ROUND(CONCATENATE(S350,T350),0)</f>
        <v>7201</v>
      </c>
      <c r="B350" s="57" t="s">
        <v>0</v>
      </c>
      <c r="C350" s="57"/>
      <c r="D350" s="56" t="s">
        <v>46</v>
      </c>
      <c r="E350" s="56"/>
      <c r="F350" s="56"/>
      <c r="G350" s="56"/>
      <c r="H350" s="56"/>
      <c r="L350" s="1">
        <v>1</v>
      </c>
      <c r="M350" s="1">
        <v>2</v>
      </c>
      <c r="N350" s="1">
        <v>3</v>
      </c>
      <c r="O350" s="1">
        <v>4</v>
      </c>
      <c r="P350" s="1">
        <v>5</v>
      </c>
      <c r="Q350" s="1">
        <v>6</v>
      </c>
      <c r="R350" s="1">
        <v>7</v>
      </c>
      <c r="S350" s="1">
        <f t="shared" ref="S350" si="390">S348+1</f>
        <v>7</v>
      </c>
      <c r="T350" s="1">
        <v>201</v>
      </c>
    </row>
    <row r="351" spans="1:20" x14ac:dyDescent="0.3">
      <c r="A351" s="1">
        <f t="shared" si="389"/>
        <v>7202</v>
      </c>
      <c r="B351" s="57"/>
      <c r="C351" s="57"/>
      <c r="D351" s="57"/>
      <c r="E351" s="57"/>
      <c r="F351" s="57"/>
      <c r="G351" s="57"/>
      <c r="H351" s="57"/>
      <c r="K351" s="2" t="s">
        <v>1</v>
      </c>
      <c r="L351" s="2"/>
      <c r="M351" s="2" t="s">
        <v>2</v>
      </c>
      <c r="N351" s="2" t="s">
        <v>3</v>
      </c>
      <c r="O351" s="2" t="s">
        <v>4</v>
      </c>
      <c r="P351" s="2" t="s">
        <v>5</v>
      </c>
      <c r="S351" s="1">
        <f t="shared" ref="S351" si="391">S350</f>
        <v>7</v>
      </c>
      <c r="T351" s="1">
        <v>202</v>
      </c>
    </row>
    <row r="352" spans="1:20" x14ac:dyDescent="0.3">
      <c r="A352" s="1">
        <f t="shared" si="389"/>
        <v>7203</v>
      </c>
      <c r="B352" s="64" t="s">
        <v>6</v>
      </c>
      <c r="C352" s="64"/>
      <c r="D352" s="56" t="s">
        <v>118</v>
      </c>
      <c r="E352" s="56"/>
      <c r="F352" s="56"/>
      <c r="G352" s="56"/>
      <c r="H352" s="56"/>
      <c r="K352" s="3">
        <f t="shared" ref="K352" si="392">IF(K354&gt;=3,N354,LOOKUP(15-($B381+1),M350:R350,M354:P354))</f>
        <v>0.51015593864270925</v>
      </c>
      <c r="L352" s="2" t="str">
        <f t="shared" ref="L352" si="393">CONCATENATE($B381,"1")</f>
        <v>61</v>
      </c>
      <c r="M352" s="2">
        <f t="shared" ref="M352" si="394">VLOOKUP(L352,J355:P406,O350,FALSE)</f>
        <v>-8.126174011416944E-8</v>
      </c>
      <c r="N352" s="2">
        <f t="shared" ref="N352" si="395">VLOOKUP(L352,J355:P406,P350,FALSE)</f>
        <v>2.299535861664254E-4</v>
      </c>
      <c r="O352" s="2">
        <f t="shared" ref="O352" si="396">VLOOKUP(L352,J355:P406,Q350,FALSE)</f>
        <v>0.78300602246735751</v>
      </c>
      <c r="P352" s="2">
        <f t="shared" ref="P352" si="397">VLOOKUP(L352,J355:P406,R350,FALSE)</f>
        <v>68.454917371203081</v>
      </c>
      <c r="S352" s="1">
        <f t="shared" si="332"/>
        <v>7</v>
      </c>
      <c r="T352" s="1">
        <v>203</v>
      </c>
    </row>
    <row r="353" spans="1:20" x14ac:dyDescent="0.3">
      <c r="A353" s="1">
        <f t="shared" si="389"/>
        <v>7204</v>
      </c>
      <c r="B353" s="57" t="s">
        <v>7</v>
      </c>
      <c r="C353" s="57"/>
      <c r="D353" s="56" t="s">
        <v>92</v>
      </c>
      <c r="E353" s="56"/>
      <c r="F353" s="56"/>
      <c r="G353" s="56"/>
      <c r="H353" s="56"/>
      <c r="K353" s="2" t="s">
        <v>8</v>
      </c>
      <c r="L353" s="2" t="str">
        <f t="shared" ref="L353" si="398">CONCATENATE($B381,"2")</f>
        <v>62</v>
      </c>
      <c r="M353" s="2">
        <f t="shared" ref="M353" si="399">VLOOKUP(L353,J355:P406,O350,FALSE)</f>
        <v>1.7380977326709992E-7</v>
      </c>
      <c r="N353" s="2">
        <f t="shared" ref="N353" si="400">VLOOKUP(L353,J355:P406,P350,FALSE)</f>
        <v>4.8133719646982536E-4</v>
      </c>
      <c r="O353" s="2">
        <f t="shared" ref="O353" si="401">VLOOKUP(L353,J355:P406,Q350,FALSE)</f>
        <v>0.44109216886746266</v>
      </c>
      <c r="P353" s="2">
        <f t="shared" ref="P353" si="402">VLOOKUP(L353,J355:P406,R350,FALSE)</f>
        <v>133.70637043183066</v>
      </c>
      <c r="S353" s="1">
        <f t="shared" si="332"/>
        <v>7</v>
      </c>
      <c r="T353" s="1">
        <v>204</v>
      </c>
    </row>
    <row r="354" spans="1:20" x14ac:dyDescent="0.3">
      <c r="A354" s="1">
        <f t="shared" si="389"/>
        <v>7205</v>
      </c>
      <c r="B354" s="57" t="s">
        <v>9</v>
      </c>
      <c r="C354" s="57"/>
      <c r="D354" s="56" t="s">
        <v>91</v>
      </c>
      <c r="E354" s="56"/>
      <c r="F354" s="56"/>
      <c r="G354" s="56"/>
      <c r="H354" s="56"/>
      <c r="K354" s="3">
        <f t="shared" ref="K354" si="403">IF(B381&gt;3,3,B381)</f>
        <v>3</v>
      </c>
      <c r="L354" s="2" t="str">
        <f t="shared" ref="L354" si="404">CONCATENATE($B381,"3")</f>
        <v>63</v>
      </c>
      <c r="M354" s="2">
        <f t="shared" ref="M354" si="405">VLOOKUP(L354,J355:P406,O350,FALSE)</f>
        <v>0.99998874725634035</v>
      </c>
      <c r="N354" s="2">
        <f t="shared" ref="N354" si="406">VLOOKUP(L354,J355:P406,P350,FALSE)</f>
        <v>0.51015593864270925</v>
      </c>
      <c r="O354" s="2" t="e">
        <f t="shared" ref="O354" si="407">VLOOKUP(L354,J355:P406,Q350,FALSE)</f>
        <v>#N/A</v>
      </c>
      <c r="P354" s="2" t="e">
        <f t="shared" ref="P354" si="408">VLOOKUP(L354,J355:P406,R350,FALSE)</f>
        <v>#N/A</v>
      </c>
      <c r="S354" s="1">
        <f t="shared" si="332"/>
        <v>7</v>
      </c>
      <c r="T354" s="1">
        <v>205</v>
      </c>
    </row>
    <row r="355" spans="1:20" x14ac:dyDescent="0.3">
      <c r="A355" s="1">
        <f t="shared" si="389"/>
        <v>7206</v>
      </c>
      <c r="B355" s="57" t="s">
        <v>10</v>
      </c>
      <c r="C355" s="57"/>
      <c r="D355" s="62" t="s">
        <v>146</v>
      </c>
      <c r="E355" s="56"/>
      <c r="F355" s="56"/>
      <c r="G355" s="56"/>
      <c r="H355" s="56"/>
      <c r="J355" s="1">
        <v>13</v>
      </c>
      <c r="M355" s="1" t="s">
        <v>2</v>
      </c>
      <c r="N355" s="1" t="s">
        <v>3</v>
      </c>
      <c r="O355" s="1" t="s">
        <v>4</v>
      </c>
      <c r="P355" s="1" t="s">
        <v>5</v>
      </c>
      <c r="S355" s="1">
        <f t="shared" si="332"/>
        <v>7</v>
      </c>
      <c r="T355" s="1">
        <v>206</v>
      </c>
    </row>
    <row r="356" spans="1:20" x14ac:dyDescent="0.3">
      <c r="A356" s="1">
        <f t="shared" si="389"/>
        <v>7207</v>
      </c>
      <c r="B356" s="57" t="s">
        <v>11</v>
      </c>
      <c r="C356" s="57"/>
      <c r="D356" s="63">
        <v>45979</v>
      </c>
      <c r="E356" s="63"/>
      <c r="F356" s="63"/>
      <c r="G356" s="63"/>
      <c r="H356" s="63"/>
      <c r="J356" s="1" t="str">
        <f t="shared" ref="J356" si="409">CONCATENATE(J355,"1")</f>
        <v>131</v>
      </c>
      <c r="M356" s="1" t="e">
        <f t="array" ref="M356:P358">LINEST($B366:$B380,$C366:$C380^{1,2,3},TRUE,TRUE)</f>
        <v>#VALUE!</v>
      </c>
      <c r="N356" s="1" t="e">
        <v>#VALUE!</v>
      </c>
      <c r="O356" s="1" t="e">
        <v>#VALUE!</v>
      </c>
      <c r="P356" s="1" t="e">
        <v>#VALUE!</v>
      </c>
      <c r="S356" s="1">
        <f t="shared" si="332"/>
        <v>7</v>
      </c>
      <c r="T356" s="1">
        <v>207</v>
      </c>
    </row>
    <row r="357" spans="1:20" x14ac:dyDescent="0.3">
      <c r="A357" s="1">
        <f t="shared" si="389"/>
        <v>7208</v>
      </c>
      <c r="B357" s="57" t="s">
        <v>12</v>
      </c>
      <c r="C357" s="57"/>
      <c r="D357" s="58">
        <v>46356</v>
      </c>
      <c r="E357" s="58"/>
      <c r="F357" s="58"/>
      <c r="G357" s="58"/>
      <c r="H357" s="58"/>
      <c r="J357" s="1" t="str">
        <f t="shared" ref="J357" si="410">CONCATENATE(J355,"2")</f>
        <v>132</v>
      </c>
      <c r="M357" s="1" t="e">
        <v>#VALUE!</v>
      </c>
      <c r="N357" s="1" t="e">
        <v>#VALUE!</v>
      </c>
      <c r="O357" s="1" t="e">
        <v>#VALUE!</v>
      </c>
      <c r="P357" s="1" t="e">
        <v>#VALUE!</v>
      </c>
      <c r="S357" s="1">
        <f t="shared" si="332"/>
        <v>7</v>
      </c>
      <c r="T357" s="1">
        <v>208</v>
      </c>
    </row>
    <row r="358" spans="1:20" x14ac:dyDescent="0.3">
      <c r="A358" s="1">
        <f t="shared" si="389"/>
        <v>7209</v>
      </c>
      <c r="B358" s="57" t="s">
        <v>13</v>
      </c>
      <c r="C358" s="57"/>
      <c r="D358" s="9">
        <v>1</v>
      </c>
      <c r="E358" s="54" t="s">
        <v>14</v>
      </c>
      <c r="F358" s="54"/>
      <c r="G358" s="54"/>
      <c r="H358" s="9" t="s">
        <v>59</v>
      </c>
      <c r="J358" s="1" t="str">
        <f t="shared" ref="J358" si="411">CONCATENATE(J355,"3")</f>
        <v>133</v>
      </c>
      <c r="M358" s="1" t="e">
        <v>#VALUE!</v>
      </c>
      <c r="N358" s="1" t="e">
        <v>#VALUE!</v>
      </c>
      <c r="O358" s="1" t="e">
        <v>#VALUE!</v>
      </c>
      <c r="P358" s="1" t="e">
        <v>#VALUE!</v>
      </c>
      <c r="S358" s="1">
        <f t="shared" si="332"/>
        <v>7</v>
      </c>
      <c r="T358" s="1">
        <v>209</v>
      </c>
    </row>
    <row r="359" spans="1:20" x14ac:dyDescent="0.3">
      <c r="A359" s="1">
        <f t="shared" si="389"/>
        <v>7210</v>
      </c>
      <c r="B359" s="57" t="s">
        <v>15</v>
      </c>
      <c r="C359" s="57"/>
      <c r="D359" s="2">
        <f>MIN(B366:B380)</f>
        <v>751</v>
      </c>
      <c r="E359" s="4" t="s">
        <v>16</v>
      </c>
      <c r="F359" s="2">
        <f>MAX(B366:B380)</f>
        <v>1090</v>
      </c>
      <c r="G359" s="5" t="str">
        <f>IF(H358="","",H358)</f>
        <v>hPa</v>
      </c>
      <c r="H359" s="23"/>
      <c r="J359" s="1">
        <f t="shared" ref="J359" si="412">J355-1</f>
        <v>12</v>
      </c>
      <c r="M359" s="1" t="s">
        <v>2</v>
      </c>
      <c r="N359" s="1" t="s">
        <v>3</v>
      </c>
      <c r="O359" s="1" t="s">
        <v>4</v>
      </c>
      <c r="P359" s="1" t="s">
        <v>5</v>
      </c>
      <c r="S359" s="1">
        <f t="shared" si="332"/>
        <v>7</v>
      </c>
      <c r="T359" s="1">
        <v>210</v>
      </c>
    </row>
    <row r="360" spans="1:20" x14ac:dyDescent="0.3">
      <c r="A360" s="1">
        <f t="shared" si="389"/>
        <v>7211</v>
      </c>
      <c r="J360" s="1" t="str">
        <f t="shared" ref="J360" si="413">CONCATENATE(J359,"1")</f>
        <v>121</v>
      </c>
      <c r="M360" s="1" t="e">
        <f t="array" ref="M360:P362">LINEST($B366:$B379,$C366:$C379^{1,2,3},TRUE,TRUE)</f>
        <v>#VALUE!</v>
      </c>
      <c r="N360" s="1" t="e">
        <v>#VALUE!</v>
      </c>
      <c r="O360" s="1" t="e">
        <v>#VALUE!</v>
      </c>
      <c r="P360" s="1" t="e">
        <v>#VALUE!</v>
      </c>
      <c r="S360" s="1">
        <f t="shared" si="332"/>
        <v>7</v>
      </c>
      <c r="T360" s="1">
        <v>211</v>
      </c>
    </row>
    <row r="361" spans="1:20" x14ac:dyDescent="0.3">
      <c r="A361" s="1">
        <f t="shared" si="389"/>
        <v>7212</v>
      </c>
      <c r="B361" s="59" t="s">
        <v>17</v>
      </c>
      <c r="C361" s="59"/>
      <c r="D361" s="59"/>
      <c r="E361" s="59"/>
      <c r="F361" s="59"/>
      <c r="G361" s="60" t="s">
        <v>29</v>
      </c>
      <c r="H361" s="61"/>
      <c r="J361" s="1" t="str">
        <f t="shared" ref="J361" si="414">CONCATENATE(J359,"2")</f>
        <v>122</v>
      </c>
      <c r="M361" s="1" t="e">
        <v>#VALUE!</v>
      </c>
      <c r="N361" s="1" t="e">
        <v>#VALUE!</v>
      </c>
      <c r="O361" s="1" t="e">
        <v>#VALUE!</v>
      </c>
      <c r="P361" s="1" t="e">
        <v>#VALUE!</v>
      </c>
      <c r="S361" s="1">
        <f t="shared" si="332"/>
        <v>7</v>
      </c>
      <c r="T361" s="1">
        <v>212</v>
      </c>
    </row>
    <row r="362" spans="1:20" x14ac:dyDescent="0.3">
      <c r="A362" s="1">
        <f t="shared" si="389"/>
        <v>7213</v>
      </c>
      <c r="B362" s="54" t="s">
        <v>18</v>
      </c>
      <c r="C362" s="54"/>
      <c r="D362" s="54"/>
      <c r="E362" s="54" t="str">
        <f>IF(D355="","",D355)</f>
        <v>E0817/25</v>
      </c>
      <c r="F362" s="54"/>
      <c r="G362" s="5" t="s">
        <v>18</v>
      </c>
      <c r="H362" s="20" t="s">
        <v>119</v>
      </c>
      <c r="J362" s="1" t="str">
        <f t="shared" ref="J362" si="415">CONCATENATE(J359,"3")</f>
        <v>123</v>
      </c>
      <c r="M362" s="1" t="e">
        <v>#VALUE!</v>
      </c>
      <c r="N362" s="1" t="e">
        <v>#VALUE!</v>
      </c>
      <c r="O362" s="1" t="e">
        <v>#VALUE!</v>
      </c>
      <c r="P362" s="1" t="e">
        <v>#VALUE!</v>
      </c>
      <c r="S362" s="1">
        <f t="shared" si="332"/>
        <v>7</v>
      </c>
      <c r="T362" s="1">
        <v>213</v>
      </c>
    </row>
    <row r="363" spans="1:20" ht="15" customHeight="1" x14ac:dyDescent="0.3">
      <c r="A363" s="1">
        <f t="shared" si="389"/>
        <v>7214</v>
      </c>
      <c r="B363" s="6" t="s">
        <v>19</v>
      </c>
      <c r="C363" s="6" t="s">
        <v>20</v>
      </c>
      <c r="D363" s="6" t="s">
        <v>21</v>
      </c>
      <c r="E363" s="6"/>
      <c r="F363" s="55" t="s">
        <v>31</v>
      </c>
      <c r="G363" s="6" t="s">
        <v>19</v>
      </c>
      <c r="H363" s="6" t="s">
        <v>20</v>
      </c>
      <c r="J363" s="1">
        <f t="shared" ref="J363" si="416">J359-1</f>
        <v>11</v>
      </c>
      <c r="M363" s="1" t="s">
        <v>2</v>
      </c>
      <c r="N363" s="1" t="s">
        <v>3</v>
      </c>
      <c r="O363" s="1" t="s">
        <v>4</v>
      </c>
      <c r="P363" s="1" t="s">
        <v>5</v>
      </c>
      <c r="S363" s="1">
        <f t="shared" si="332"/>
        <v>7</v>
      </c>
      <c r="T363" s="1">
        <v>214</v>
      </c>
    </row>
    <row r="364" spans="1:20" x14ac:dyDescent="0.3">
      <c r="A364" s="1">
        <f t="shared" si="389"/>
        <v>7215</v>
      </c>
      <c r="B364" s="6" t="s">
        <v>22</v>
      </c>
      <c r="C364" s="6" t="s">
        <v>23</v>
      </c>
      <c r="D364" s="6" t="s">
        <v>24</v>
      </c>
      <c r="E364" s="6" t="s">
        <v>30</v>
      </c>
      <c r="F364" s="55"/>
      <c r="G364" s="6" t="s">
        <v>22</v>
      </c>
      <c r="H364" s="6" t="s">
        <v>23</v>
      </c>
      <c r="J364" s="1" t="str">
        <f t="shared" ref="J364" si="417">CONCATENATE(J363,"1")</f>
        <v>111</v>
      </c>
      <c r="M364" s="1" t="e">
        <f t="array" ref="M364:P366">LINEST($B366:$B378,$C366:$C378^{1,2,3},TRUE,TRUE)</f>
        <v>#VALUE!</v>
      </c>
      <c r="N364" s="1" t="e">
        <v>#VALUE!</v>
      </c>
      <c r="O364" s="1" t="e">
        <v>#VALUE!</v>
      </c>
      <c r="P364" s="1" t="e">
        <v>#VALUE!</v>
      </c>
      <c r="S364" s="1">
        <f t="shared" si="332"/>
        <v>7</v>
      </c>
      <c r="T364" s="1">
        <v>215</v>
      </c>
    </row>
    <row r="365" spans="1:20" x14ac:dyDescent="0.3">
      <c r="A365" s="1">
        <f t="shared" si="389"/>
        <v>7216</v>
      </c>
      <c r="B365" s="7" t="str">
        <f>IF(H358="","",H358)</f>
        <v>hPa</v>
      </c>
      <c r="C365" s="7" t="str">
        <f>IF(H358="","",H358)</f>
        <v>hPa</v>
      </c>
      <c r="D365" s="7" t="str">
        <f>IF(H358="","",H358)</f>
        <v>hPa</v>
      </c>
      <c r="E365" s="7"/>
      <c r="F365" s="7" t="str">
        <f>IF(I358="","",I358)</f>
        <v/>
      </c>
      <c r="G365" s="7" t="str">
        <f>IF(H358="","",H358)</f>
        <v>hPa</v>
      </c>
      <c r="H365" s="7" t="str">
        <f>IF(H358="","",H358)</f>
        <v>hPa</v>
      </c>
      <c r="J365" s="1" t="str">
        <f t="shared" ref="J365" si="418">CONCATENATE(J363,"2")</f>
        <v>112</v>
      </c>
      <c r="M365" s="1" t="e">
        <v>#VALUE!</v>
      </c>
      <c r="N365" s="1" t="e">
        <v>#VALUE!</v>
      </c>
      <c r="O365" s="1" t="e">
        <v>#VALUE!</v>
      </c>
      <c r="P365" s="1" t="e">
        <v>#VALUE!</v>
      </c>
      <c r="S365" s="1">
        <f t="shared" si="332"/>
        <v>7</v>
      </c>
      <c r="T365" s="1">
        <v>216</v>
      </c>
    </row>
    <row r="366" spans="1:20" x14ac:dyDescent="0.3">
      <c r="A366" s="1">
        <f t="shared" si="389"/>
        <v>7217</v>
      </c>
      <c r="B366" s="24">
        <v>751</v>
      </c>
      <c r="C366" s="24">
        <v>750</v>
      </c>
      <c r="D366" s="22">
        <v>1</v>
      </c>
      <c r="E366" s="24">
        <v>2</v>
      </c>
      <c r="F366" s="24">
        <v>1000000</v>
      </c>
      <c r="G366" s="25">
        <v>750</v>
      </c>
      <c r="H366" s="25">
        <v>749</v>
      </c>
      <c r="J366" s="1" t="str">
        <f t="shared" ref="J366" si="419">CONCATENATE(J363,"3")</f>
        <v>113</v>
      </c>
      <c r="M366" s="1" t="e">
        <v>#VALUE!</v>
      </c>
      <c r="N366" s="1" t="e">
        <v>#VALUE!</v>
      </c>
      <c r="O366" s="1" t="e">
        <v>#VALUE!</v>
      </c>
      <c r="P366" s="1" t="e">
        <v>#VALUE!</v>
      </c>
      <c r="S366" s="1">
        <f t="shared" si="332"/>
        <v>7</v>
      </c>
      <c r="T366" s="1">
        <v>217</v>
      </c>
    </row>
    <row r="367" spans="1:20" x14ac:dyDescent="0.3">
      <c r="A367" s="1">
        <f t="shared" si="389"/>
        <v>7218</v>
      </c>
      <c r="B367" s="24">
        <v>800</v>
      </c>
      <c r="C367" s="24">
        <v>800</v>
      </c>
      <c r="D367" s="22">
        <v>1</v>
      </c>
      <c r="E367" s="24">
        <v>2</v>
      </c>
      <c r="F367" s="24">
        <v>1000000</v>
      </c>
      <c r="G367" s="25">
        <v>800</v>
      </c>
      <c r="H367" s="25">
        <v>799</v>
      </c>
      <c r="J367" s="1">
        <f t="shared" ref="J367" si="420">J363-1</f>
        <v>10</v>
      </c>
      <c r="M367" s="1" t="s">
        <v>2</v>
      </c>
      <c r="N367" s="1" t="s">
        <v>3</v>
      </c>
      <c r="O367" s="1" t="s">
        <v>4</v>
      </c>
      <c r="P367" s="1" t="s">
        <v>5</v>
      </c>
      <c r="S367" s="1">
        <f t="shared" si="332"/>
        <v>7</v>
      </c>
      <c r="T367" s="1">
        <v>218</v>
      </c>
    </row>
    <row r="368" spans="1:20" x14ac:dyDescent="0.3">
      <c r="A368" s="1">
        <f t="shared" si="389"/>
        <v>7219</v>
      </c>
      <c r="B368" s="24">
        <v>850</v>
      </c>
      <c r="C368" s="24">
        <v>850</v>
      </c>
      <c r="D368" s="22">
        <v>1</v>
      </c>
      <c r="E368" s="24">
        <v>2</v>
      </c>
      <c r="F368" s="24">
        <v>1000000</v>
      </c>
      <c r="G368" s="25">
        <v>850</v>
      </c>
      <c r="H368" s="25">
        <v>849</v>
      </c>
      <c r="J368" s="1" t="str">
        <f t="shared" ref="J368" si="421">CONCATENATE(J367,"1")</f>
        <v>101</v>
      </c>
      <c r="M368" s="1" t="e">
        <f t="array" ref="M368:P370">LINEST($B366:$B377,$C366:$C377^{1,2,3},TRUE,TRUE)</f>
        <v>#VALUE!</v>
      </c>
      <c r="N368" s="1" t="e">
        <v>#VALUE!</v>
      </c>
      <c r="O368" s="1" t="e">
        <v>#VALUE!</v>
      </c>
      <c r="P368" s="1" t="e">
        <v>#VALUE!</v>
      </c>
      <c r="S368" s="1">
        <f t="shared" si="332"/>
        <v>7</v>
      </c>
      <c r="T368" s="1">
        <v>219</v>
      </c>
    </row>
    <row r="369" spans="1:20" x14ac:dyDescent="0.3">
      <c r="A369" s="1">
        <f t="shared" si="389"/>
        <v>7220</v>
      </c>
      <c r="B369" s="24">
        <v>901</v>
      </c>
      <c r="C369" s="24">
        <v>900</v>
      </c>
      <c r="D369" s="22">
        <v>1</v>
      </c>
      <c r="E369" s="24">
        <v>2</v>
      </c>
      <c r="F369" s="24">
        <v>1000000</v>
      </c>
      <c r="G369" s="25">
        <v>900</v>
      </c>
      <c r="H369" s="25">
        <v>900</v>
      </c>
      <c r="J369" s="1" t="str">
        <f t="shared" ref="J369" si="422">CONCATENATE(J367,"2")</f>
        <v>102</v>
      </c>
      <c r="M369" s="1" t="e">
        <v>#VALUE!</v>
      </c>
      <c r="N369" s="1" t="e">
        <v>#VALUE!</v>
      </c>
      <c r="O369" s="1" t="e">
        <v>#VALUE!</v>
      </c>
      <c r="P369" s="1" t="e">
        <v>#VALUE!</v>
      </c>
      <c r="S369" s="1">
        <f t="shared" ref="S369:S432" si="423">S368</f>
        <v>7</v>
      </c>
      <c r="T369" s="1">
        <v>220</v>
      </c>
    </row>
    <row r="370" spans="1:20" x14ac:dyDescent="0.3">
      <c r="A370" s="1">
        <f t="shared" si="389"/>
        <v>7221</v>
      </c>
      <c r="B370" s="24">
        <v>950</v>
      </c>
      <c r="C370" s="24">
        <v>950</v>
      </c>
      <c r="D370" s="22">
        <v>1</v>
      </c>
      <c r="E370" s="24">
        <v>2</v>
      </c>
      <c r="F370" s="24">
        <v>1000000</v>
      </c>
      <c r="G370" s="25">
        <v>950</v>
      </c>
      <c r="H370" s="25">
        <v>950</v>
      </c>
      <c r="J370" s="1" t="str">
        <f t="shared" ref="J370" si="424">CONCATENATE(J367,"3")</f>
        <v>103</v>
      </c>
      <c r="M370" s="1" t="e">
        <v>#VALUE!</v>
      </c>
      <c r="N370" s="1" t="e">
        <v>#VALUE!</v>
      </c>
      <c r="O370" s="1" t="e">
        <v>#VALUE!</v>
      </c>
      <c r="P370" s="1" t="e">
        <v>#VALUE!</v>
      </c>
      <c r="S370" s="1">
        <f t="shared" si="423"/>
        <v>7</v>
      </c>
      <c r="T370" s="1">
        <v>221</v>
      </c>
    </row>
    <row r="371" spans="1:20" x14ac:dyDescent="0.3">
      <c r="A371" s="1">
        <f t="shared" si="389"/>
        <v>7222</v>
      </c>
      <c r="B371" s="24">
        <v>1000</v>
      </c>
      <c r="C371" s="24">
        <v>1000</v>
      </c>
      <c r="D371" s="22">
        <v>1</v>
      </c>
      <c r="E371" s="24">
        <v>2</v>
      </c>
      <c r="F371" s="24">
        <v>1000000</v>
      </c>
      <c r="G371" s="25">
        <v>1000</v>
      </c>
      <c r="H371" s="25">
        <v>1000</v>
      </c>
      <c r="J371" s="1">
        <f t="shared" ref="J371" si="425">J367-1</f>
        <v>9</v>
      </c>
      <c r="M371" s="1" t="s">
        <v>2</v>
      </c>
      <c r="N371" s="1" t="s">
        <v>3</v>
      </c>
      <c r="O371" s="1" t="s">
        <v>4</v>
      </c>
      <c r="P371" s="1" t="s">
        <v>5</v>
      </c>
      <c r="S371" s="1">
        <f t="shared" si="423"/>
        <v>7</v>
      </c>
      <c r="T371" s="1">
        <v>222</v>
      </c>
    </row>
    <row r="372" spans="1:20" x14ac:dyDescent="0.3">
      <c r="A372" s="1">
        <f t="shared" si="389"/>
        <v>7223</v>
      </c>
      <c r="B372" s="24">
        <v>1010</v>
      </c>
      <c r="C372" s="24">
        <v>1010</v>
      </c>
      <c r="D372" s="22">
        <v>1</v>
      </c>
      <c r="E372" s="24">
        <v>2</v>
      </c>
      <c r="F372" s="24">
        <v>1000000</v>
      </c>
      <c r="G372" s="25">
        <v>1010</v>
      </c>
      <c r="H372" s="25">
        <v>1010</v>
      </c>
      <c r="J372" s="1" t="str">
        <f t="shared" ref="J372" si="426">CONCATENATE(J371,"1")</f>
        <v>91</v>
      </c>
      <c r="M372" s="1" t="e">
        <f t="array" ref="M372:P374">LINEST($B366:$B376,$C366:$C376^{1,2,3},TRUE,TRUE)</f>
        <v>#VALUE!</v>
      </c>
      <c r="N372" s="1" t="e">
        <v>#VALUE!</v>
      </c>
      <c r="O372" s="1" t="e">
        <v>#VALUE!</v>
      </c>
      <c r="P372" s="1" t="e">
        <v>#VALUE!</v>
      </c>
      <c r="S372" s="1">
        <f t="shared" si="423"/>
        <v>7</v>
      </c>
      <c r="T372" s="1">
        <v>223</v>
      </c>
    </row>
    <row r="373" spans="1:20" x14ac:dyDescent="0.3">
      <c r="A373" s="1">
        <f t="shared" si="389"/>
        <v>7224</v>
      </c>
      <c r="B373" s="24">
        <v>1090</v>
      </c>
      <c r="C373" s="24">
        <v>1090</v>
      </c>
      <c r="D373" s="22">
        <v>1</v>
      </c>
      <c r="E373" s="24">
        <v>2</v>
      </c>
      <c r="F373" s="24">
        <v>1000000</v>
      </c>
      <c r="G373" s="25">
        <v>1090</v>
      </c>
      <c r="H373" s="25">
        <v>1090</v>
      </c>
      <c r="J373" s="1" t="str">
        <f t="shared" ref="J373" si="427">CONCATENATE(J371,"2")</f>
        <v>92</v>
      </c>
      <c r="M373" s="1" t="e">
        <v>#VALUE!</v>
      </c>
      <c r="N373" s="1" t="e">
        <v>#VALUE!</v>
      </c>
      <c r="O373" s="1" t="e">
        <v>#VALUE!</v>
      </c>
      <c r="P373" s="1" t="e">
        <v>#VALUE!</v>
      </c>
      <c r="S373" s="1">
        <f t="shared" si="423"/>
        <v>7</v>
      </c>
      <c r="T373" s="1">
        <v>224</v>
      </c>
    </row>
    <row r="374" spans="1:20" x14ac:dyDescent="0.3">
      <c r="A374" s="1">
        <f t="shared" si="389"/>
        <v>7225</v>
      </c>
      <c r="B374" s="24"/>
      <c r="C374" s="24"/>
      <c r="D374" s="21"/>
      <c r="E374" s="24"/>
      <c r="F374" s="24"/>
      <c r="G374" s="25"/>
      <c r="H374" s="25"/>
      <c r="J374" s="1" t="str">
        <f t="shared" ref="J374" si="428">CONCATENATE(J371,"3")</f>
        <v>93</v>
      </c>
      <c r="M374" s="1" t="e">
        <v>#VALUE!</v>
      </c>
      <c r="N374" s="1" t="e">
        <v>#VALUE!</v>
      </c>
      <c r="O374" s="1" t="e">
        <v>#VALUE!</v>
      </c>
      <c r="P374" s="1" t="e">
        <v>#VALUE!</v>
      </c>
      <c r="S374" s="1">
        <f t="shared" si="423"/>
        <v>7</v>
      </c>
      <c r="T374" s="1">
        <v>225</v>
      </c>
    </row>
    <row r="375" spans="1:20" x14ac:dyDescent="0.3">
      <c r="A375" s="1">
        <f t="shared" si="389"/>
        <v>7226</v>
      </c>
      <c r="B375" s="24"/>
      <c r="C375" s="24"/>
      <c r="D375" s="24"/>
      <c r="E375" s="24"/>
      <c r="F375" s="24"/>
      <c r="G375" s="25"/>
      <c r="H375" s="25"/>
      <c r="J375" s="1">
        <f t="shared" ref="J375" si="429">J371-1</f>
        <v>8</v>
      </c>
      <c r="M375" s="1" t="s">
        <v>2</v>
      </c>
      <c r="N375" s="1" t="s">
        <v>3</v>
      </c>
      <c r="O375" s="1" t="s">
        <v>4</v>
      </c>
      <c r="P375" s="1" t="s">
        <v>5</v>
      </c>
      <c r="S375" s="1">
        <f t="shared" si="423"/>
        <v>7</v>
      </c>
      <c r="T375" s="1">
        <v>226</v>
      </c>
    </row>
    <row r="376" spans="1:20" x14ac:dyDescent="0.3">
      <c r="A376" s="1">
        <f t="shared" si="389"/>
        <v>7227</v>
      </c>
      <c r="B376" s="24"/>
      <c r="C376" s="24"/>
      <c r="D376" s="24"/>
      <c r="E376" s="24"/>
      <c r="F376" s="24"/>
      <c r="G376" s="25"/>
      <c r="H376" s="25"/>
      <c r="J376" s="1" t="str">
        <f t="shared" ref="J376" si="430">CONCATENATE(J375,"1")</f>
        <v>81</v>
      </c>
      <c r="M376" s="1" t="e">
        <f t="array" ref="M376:P378">LINEST($B366:$B375,$C366:$C375^{1,2,3},TRUE,TRUE)</f>
        <v>#VALUE!</v>
      </c>
      <c r="N376" s="1" t="e">
        <v>#VALUE!</v>
      </c>
      <c r="O376" s="1" t="e">
        <v>#VALUE!</v>
      </c>
      <c r="P376" s="1" t="e">
        <v>#VALUE!</v>
      </c>
      <c r="S376" s="1">
        <f t="shared" si="423"/>
        <v>7</v>
      </c>
      <c r="T376" s="1">
        <v>227</v>
      </c>
    </row>
    <row r="377" spans="1:20" x14ac:dyDescent="0.3">
      <c r="A377" s="1">
        <f t="shared" si="389"/>
        <v>7228</v>
      </c>
      <c r="B377" s="24"/>
      <c r="C377" s="24"/>
      <c r="D377" s="24"/>
      <c r="E377" s="24"/>
      <c r="F377" s="24"/>
      <c r="G377" s="25"/>
      <c r="H377" s="25"/>
      <c r="J377" s="1" t="str">
        <f t="shared" ref="J377" si="431">CONCATENATE(J375,"2")</f>
        <v>82</v>
      </c>
      <c r="M377" s="1" t="e">
        <v>#VALUE!</v>
      </c>
      <c r="N377" s="1" t="e">
        <v>#VALUE!</v>
      </c>
      <c r="O377" s="1" t="e">
        <v>#VALUE!</v>
      </c>
      <c r="P377" s="1" t="e">
        <v>#VALUE!</v>
      </c>
      <c r="S377" s="1">
        <f t="shared" si="423"/>
        <v>7</v>
      </c>
      <c r="T377" s="1">
        <v>228</v>
      </c>
    </row>
    <row r="378" spans="1:20" x14ac:dyDescent="0.3">
      <c r="A378" s="1">
        <f t="shared" si="389"/>
        <v>7229</v>
      </c>
      <c r="B378" s="24"/>
      <c r="C378" s="24"/>
      <c r="D378" s="24"/>
      <c r="E378" s="24"/>
      <c r="F378" s="24"/>
      <c r="G378" s="25"/>
      <c r="H378" s="25"/>
      <c r="J378" s="1" t="str">
        <f t="shared" ref="J378" si="432">CONCATENATE(J375,"3")</f>
        <v>83</v>
      </c>
      <c r="M378" s="1" t="e">
        <v>#VALUE!</v>
      </c>
      <c r="N378" s="1" t="e">
        <v>#VALUE!</v>
      </c>
      <c r="O378" s="1" t="e">
        <v>#VALUE!</v>
      </c>
      <c r="P378" s="1" t="e">
        <v>#VALUE!</v>
      </c>
      <c r="S378" s="1">
        <f t="shared" si="423"/>
        <v>7</v>
      </c>
      <c r="T378" s="1">
        <v>229</v>
      </c>
    </row>
    <row r="379" spans="1:20" x14ac:dyDescent="0.3">
      <c r="A379" s="1">
        <f t="shared" si="389"/>
        <v>7230</v>
      </c>
      <c r="B379" s="24"/>
      <c r="C379" s="24"/>
      <c r="D379" s="24"/>
      <c r="E379" s="24"/>
      <c r="F379" s="24"/>
      <c r="G379" s="25"/>
      <c r="H379" s="25"/>
      <c r="J379" s="1">
        <f t="shared" ref="J379" si="433">J375-1</f>
        <v>7</v>
      </c>
      <c r="M379" s="1" t="s">
        <v>2</v>
      </c>
      <c r="N379" s="1" t="s">
        <v>3</v>
      </c>
      <c r="O379" s="1" t="s">
        <v>4</v>
      </c>
      <c r="P379" s="1" t="s">
        <v>5</v>
      </c>
      <c r="S379" s="1">
        <f t="shared" si="423"/>
        <v>7</v>
      </c>
      <c r="T379" s="1">
        <v>230</v>
      </c>
    </row>
    <row r="380" spans="1:20" x14ac:dyDescent="0.3">
      <c r="A380" s="1">
        <f t="shared" si="389"/>
        <v>7231</v>
      </c>
      <c r="B380" s="24"/>
      <c r="C380" s="24"/>
      <c r="D380" s="24"/>
      <c r="E380" s="24"/>
      <c r="F380" s="24"/>
      <c r="G380" s="25"/>
      <c r="H380" s="25"/>
      <c r="J380" s="1" t="str">
        <f t="shared" ref="J380" si="434">CONCATENATE(J379,"1")</f>
        <v>71</v>
      </c>
      <c r="M380" s="1" t="e">
        <f t="array" ref="M380:P382">LINEST($B366:$B374,$C366:$C374^{1,2,3},TRUE,TRUE)</f>
        <v>#VALUE!</v>
      </c>
      <c r="N380" s="1" t="e">
        <v>#VALUE!</v>
      </c>
      <c r="O380" s="1" t="e">
        <v>#VALUE!</v>
      </c>
      <c r="P380" s="1" t="e">
        <v>#VALUE!</v>
      </c>
      <c r="S380" s="1">
        <f t="shared" si="423"/>
        <v>7</v>
      </c>
      <c r="T380" s="1">
        <v>231</v>
      </c>
    </row>
    <row r="381" spans="1:20" x14ac:dyDescent="0.3">
      <c r="A381" s="1">
        <f t="shared" si="389"/>
        <v>7232</v>
      </c>
      <c r="B381" s="2">
        <f t="shared" ref="B381" si="435">COUNT(B366:B380)-2</f>
        <v>6</v>
      </c>
      <c r="J381" s="1" t="str">
        <f t="shared" ref="J381" si="436">CONCATENATE(J379,"2")</f>
        <v>72</v>
      </c>
      <c r="M381" s="1" t="e">
        <v>#VALUE!</v>
      </c>
      <c r="N381" s="1" t="e">
        <v>#VALUE!</v>
      </c>
      <c r="O381" s="1" t="e">
        <v>#VALUE!</v>
      </c>
      <c r="P381" s="1" t="e">
        <v>#VALUE!</v>
      </c>
      <c r="S381" s="1">
        <f t="shared" si="423"/>
        <v>7</v>
      </c>
      <c r="T381" s="1">
        <v>232</v>
      </c>
    </row>
    <row r="382" spans="1:20" x14ac:dyDescent="0.3">
      <c r="A382" s="1">
        <f t="shared" si="389"/>
        <v>7233</v>
      </c>
      <c r="J382" s="1" t="str">
        <f t="shared" ref="J382" si="437">CONCATENATE(J379,"3")</f>
        <v>73</v>
      </c>
      <c r="M382" s="1" t="e">
        <v>#VALUE!</v>
      </c>
      <c r="N382" s="1" t="e">
        <v>#VALUE!</v>
      </c>
      <c r="O382" s="1" t="e">
        <v>#VALUE!</v>
      </c>
      <c r="P382" s="1" t="e">
        <v>#VALUE!</v>
      </c>
      <c r="S382" s="1">
        <f t="shared" si="423"/>
        <v>7</v>
      </c>
      <c r="T382" s="1">
        <v>233</v>
      </c>
    </row>
    <row r="383" spans="1:20" x14ac:dyDescent="0.3">
      <c r="A383" s="1">
        <f t="shared" si="389"/>
        <v>7234</v>
      </c>
      <c r="B383" s="54" t="s">
        <v>25</v>
      </c>
      <c r="C383" s="54"/>
      <c r="D383" s="54"/>
      <c r="E383" s="54"/>
      <c r="F383" s="54"/>
      <c r="G383" s="54"/>
      <c r="H383" s="54"/>
      <c r="J383" s="1">
        <f t="shared" ref="J383" si="438">J379-1</f>
        <v>6</v>
      </c>
      <c r="M383" s="1" t="s">
        <v>2</v>
      </c>
      <c r="N383" s="1" t="s">
        <v>3</v>
      </c>
      <c r="O383" s="1" t="s">
        <v>4</v>
      </c>
      <c r="P383" s="1" t="s">
        <v>5</v>
      </c>
      <c r="S383" s="1">
        <f t="shared" si="423"/>
        <v>7</v>
      </c>
      <c r="T383" s="1">
        <v>234</v>
      </c>
    </row>
    <row r="384" spans="1:20" x14ac:dyDescent="0.3">
      <c r="A384" s="1">
        <f t="shared" si="389"/>
        <v>7235</v>
      </c>
      <c r="B384" s="56"/>
      <c r="C384" s="56"/>
      <c r="D384" s="56"/>
      <c r="E384" s="56"/>
      <c r="F384" s="56"/>
      <c r="G384" s="56"/>
      <c r="H384" s="56"/>
      <c r="J384" s="1" t="str">
        <f t="shared" ref="J384" si="439">CONCATENATE(J383,"1")</f>
        <v>61</v>
      </c>
      <c r="M384" s="1">
        <f t="array" ref="M384:P386">LINEST($B366:$B373,$C366:$C373^{1,2,3},TRUE,TRUE)</f>
        <v>-8.126174011416944E-8</v>
      </c>
      <c r="N384" s="1">
        <v>2.299535861664254E-4</v>
      </c>
      <c r="O384" s="1">
        <v>0.78300602246735751</v>
      </c>
      <c r="P384" s="1">
        <v>68.454917371203081</v>
      </c>
      <c r="S384" s="1">
        <f t="shared" si="423"/>
        <v>7</v>
      </c>
      <c r="T384" s="1">
        <v>235</v>
      </c>
    </row>
    <row r="385" spans="1:20" x14ac:dyDescent="0.3">
      <c r="A385" s="1">
        <f t="shared" si="389"/>
        <v>7236</v>
      </c>
      <c r="B385" s="56"/>
      <c r="C385" s="56"/>
      <c r="D385" s="56"/>
      <c r="E385" s="56"/>
      <c r="F385" s="56"/>
      <c r="G385" s="56"/>
      <c r="H385" s="56"/>
      <c r="J385" s="1" t="str">
        <f t="shared" ref="J385" si="440">CONCATENATE(J383,"2")</f>
        <v>62</v>
      </c>
      <c r="M385" s="1">
        <v>1.7380977326709992E-7</v>
      </c>
      <c r="N385" s="1">
        <v>4.8133719646982536E-4</v>
      </c>
      <c r="O385" s="1">
        <v>0.44109216886746266</v>
      </c>
      <c r="P385" s="1">
        <v>133.70637043183066</v>
      </c>
      <c r="S385" s="1">
        <f t="shared" si="423"/>
        <v>7</v>
      </c>
      <c r="T385" s="1">
        <v>236</v>
      </c>
    </row>
    <row r="386" spans="1:20" x14ac:dyDescent="0.3">
      <c r="A386" s="1">
        <f t="shared" si="389"/>
        <v>7237</v>
      </c>
      <c r="J386" s="1" t="str">
        <f t="shared" ref="J386" si="441">CONCATENATE(J383,"3")</f>
        <v>63</v>
      </c>
      <c r="M386" s="1">
        <v>0.99998874725634035</v>
      </c>
      <c r="N386" s="1">
        <v>0.51015593864270925</v>
      </c>
      <c r="O386" s="1" t="e">
        <v>#N/A</v>
      </c>
      <c r="P386" s="1" t="e">
        <v>#N/A</v>
      </c>
      <c r="S386" s="1">
        <f t="shared" si="423"/>
        <v>7</v>
      </c>
      <c r="T386" s="1">
        <v>237</v>
      </c>
    </row>
    <row r="387" spans="1:20" ht="15" customHeight="1" x14ac:dyDescent="0.3">
      <c r="A387" s="1">
        <f t="shared" si="389"/>
        <v>7238</v>
      </c>
      <c r="J387" s="1">
        <f t="shared" ref="J387" si="442">J383-1</f>
        <v>5</v>
      </c>
      <c r="M387" s="1" t="s">
        <v>2</v>
      </c>
      <c r="N387" s="1" t="s">
        <v>3</v>
      </c>
      <c r="O387" s="1" t="s">
        <v>4</v>
      </c>
      <c r="P387" s="1" t="s">
        <v>5</v>
      </c>
      <c r="S387" s="1">
        <f t="shared" si="423"/>
        <v>7</v>
      </c>
      <c r="T387" s="1">
        <v>238</v>
      </c>
    </row>
    <row r="388" spans="1:20" x14ac:dyDescent="0.3">
      <c r="A388" s="1">
        <f t="shared" si="389"/>
        <v>7239</v>
      </c>
      <c r="J388" s="1" t="str">
        <f t="shared" ref="J388" si="443">CONCATENATE(J387,"1")</f>
        <v>51</v>
      </c>
      <c r="M388" s="1">
        <f t="array" ref="M388:P390">LINEST($B366:$B372,$C366:$C372^{1,2,3},TRUE,TRUE)</f>
        <v>-5.5406613047368039E-7</v>
      </c>
      <c r="N388" s="1">
        <v>1.4686327077749102E-3</v>
      </c>
      <c r="O388" s="1">
        <v>-0.29231188561224847</v>
      </c>
      <c r="P388" s="1">
        <v>377.78686327080419</v>
      </c>
      <c r="S388" s="1">
        <f t="shared" si="423"/>
        <v>7</v>
      </c>
      <c r="T388" s="1">
        <v>239</v>
      </c>
    </row>
    <row r="389" spans="1:20" x14ac:dyDescent="0.3">
      <c r="A389" s="1">
        <f t="shared" si="389"/>
        <v>7240</v>
      </c>
      <c r="E389" s="26"/>
      <c r="F389" s="26"/>
      <c r="G389" s="26"/>
      <c r="H389" s="26"/>
      <c r="J389" s="1" t="str">
        <f t="shared" ref="J389" si="444">CONCATENATE(J387,"2")</f>
        <v>52</v>
      </c>
      <c r="M389" s="1">
        <v>4.2710392690077063E-7</v>
      </c>
      <c r="N389" s="1">
        <v>1.1287041051821316E-3</v>
      </c>
      <c r="O389" s="1">
        <v>0.98897853400037794</v>
      </c>
      <c r="P389" s="1">
        <v>287.29479765472962</v>
      </c>
      <c r="S389" s="1">
        <f t="shared" si="423"/>
        <v>7</v>
      </c>
      <c r="T389" s="1">
        <v>240</v>
      </c>
    </row>
    <row r="390" spans="1:20" x14ac:dyDescent="0.3">
      <c r="A390" s="1">
        <f t="shared" si="389"/>
        <v>7241</v>
      </c>
      <c r="B390" s="54" t="s">
        <v>90</v>
      </c>
      <c r="C390" s="54"/>
      <c r="D390" s="54"/>
      <c r="E390" s="27">
        <f t="shared" ref="E390" si="445">IF(D352="","",MAX(E391,E392))</f>
        <v>1</v>
      </c>
      <c r="F390" s="26"/>
      <c r="G390" s="26"/>
      <c r="H390" s="26"/>
      <c r="J390" s="1" t="str">
        <f t="shared" ref="J390" si="446">CONCATENATE(J387,"3")</f>
        <v>53</v>
      </c>
      <c r="M390" s="1">
        <v>0.9999880981012762</v>
      </c>
      <c r="N390" s="1">
        <v>0.48420078701377767</v>
      </c>
      <c r="O390" s="1" t="e">
        <v>#N/A</v>
      </c>
      <c r="P390" s="1" t="e">
        <v>#N/A</v>
      </c>
      <c r="S390" s="1">
        <f t="shared" si="423"/>
        <v>7</v>
      </c>
      <c r="T390" s="1">
        <v>241</v>
      </c>
    </row>
    <row r="391" spans="1:20" x14ac:dyDescent="0.3">
      <c r="A391" s="1">
        <f t="shared" si="389"/>
        <v>7242</v>
      </c>
      <c r="B391" s="2" t="s">
        <v>26</v>
      </c>
      <c r="C391" s="2" t="s">
        <v>27</v>
      </c>
      <c r="D391" s="2" t="s">
        <v>28</v>
      </c>
      <c r="E391" s="28">
        <f t="shared" ref="E391" si="447">ABS(MIN(D392:D406))</f>
        <v>1</v>
      </c>
      <c r="F391" s="26"/>
      <c r="H391" s="26"/>
      <c r="J391" s="1">
        <f t="shared" ref="J391" si="448">J387-1</f>
        <v>4</v>
      </c>
      <c r="M391" s="1" t="s">
        <v>2</v>
      </c>
      <c r="N391" s="1" t="s">
        <v>3</v>
      </c>
      <c r="O391" s="1" t="s">
        <v>4</v>
      </c>
      <c r="P391" s="1" t="s">
        <v>5</v>
      </c>
      <c r="S391" s="1">
        <f t="shared" si="423"/>
        <v>7</v>
      </c>
      <c r="T391" s="1">
        <v>242</v>
      </c>
    </row>
    <row r="392" spans="1:20" x14ac:dyDescent="0.3">
      <c r="A392" s="1">
        <f t="shared" si="389"/>
        <v>7243</v>
      </c>
      <c r="B392" s="2">
        <f t="shared" ref="B392:B406" si="449">C366-B366</f>
        <v>-1</v>
      </c>
      <c r="C392" s="2">
        <f t="shared" ref="C392:C406" si="450">H366-G366</f>
        <v>-1</v>
      </c>
      <c r="D392" s="2">
        <f t="shared" ref="D392:D406" si="451">C392-B392</f>
        <v>0</v>
      </c>
      <c r="E392" s="28">
        <f t="shared" ref="E392" si="452">ABS(MAX(D392:D406))</f>
        <v>1</v>
      </c>
      <c r="F392" s="26"/>
      <c r="H392" s="26"/>
      <c r="J392" s="1" t="str">
        <f t="shared" ref="J392" si="453">CONCATENATE(J391,"1")</f>
        <v>41</v>
      </c>
      <c r="M392" s="1">
        <f t="array" ref="M392:P394">LINEST($B366:$B371,$C366:$C371^{1,2,3},TRUE,TRUE)</f>
        <v>-6.6666666666663621E-7</v>
      </c>
      <c r="N392" s="1">
        <v>1.7571428571427768E-3</v>
      </c>
      <c r="O392" s="1">
        <v>-0.53761904761897794</v>
      </c>
      <c r="P392" s="1">
        <v>446.99999999998016</v>
      </c>
      <c r="S392" s="1">
        <f t="shared" si="423"/>
        <v>7</v>
      </c>
      <c r="T392" s="1">
        <v>243</v>
      </c>
    </row>
    <row r="393" spans="1:20" x14ac:dyDescent="0.3">
      <c r="A393" s="1">
        <f t="shared" si="389"/>
        <v>7244</v>
      </c>
      <c r="B393" s="2">
        <f t="shared" si="449"/>
        <v>0</v>
      </c>
      <c r="C393" s="2">
        <f t="shared" si="450"/>
        <v>-1</v>
      </c>
      <c r="D393" s="2">
        <f t="shared" si="451"/>
        <v>-1</v>
      </c>
      <c r="E393" s="29" t="s">
        <v>32</v>
      </c>
      <c r="F393" s="26"/>
      <c r="H393" s="26"/>
      <c r="J393" s="1" t="str">
        <f t="shared" ref="J393" si="454">CONCATENATE(J391,"2")</f>
        <v>42</v>
      </c>
      <c r="M393" s="1">
        <v>5.6343616981897678E-7</v>
      </c>
      <c r="N393" s="1">
        <v>1.4794855697235236E-3</v>
      </c>
      <c r="O393" s="1">
        <v>1.2886698282739648</v>
      </c>
      <c r="P393" s="1">
        <v>372.30706892484903</v>
      </c>
      <c r="S393" s="1">
        <f t="shared" si="423"/>
        <v>7</v>
      </c>
      <c r="T393" s="1">
        <v>244</v>
      </c>
    </row>
    <row r="394" spans="1:20" x14ac:dyDescent="0.3">
      <c r="A394" s="1">
        <f t="shared" si="389"/>
        <v>7245</v>
      </c>
      <c r="B394" s="2">
        <f t="shared" si="449"/>
        <v>0</v>
      </c>
      <c r="C394" s="2">
        <f t="shared" si="450"/>
        <v>-1</v>
      </c>
      <c r="D394" s="2">
        <f t="shared" si="451"/>
        <v>-1</v>
      </c>
      <c r="E394" s="27">
        <f t="shared" ref="E394" si="455">IF(D352="","",MAX(E395,E396))</f>
        <v>1</v>
      </c>
      <c r="F394" s="26"/>
      <c r="H394" s="26"/>
      <c r="J394" s="1" t="str">
        <f t="shared" ref="J394" si="456">CONCATENATE(J391,"3")</f>
        <v>43</v>
      </c>
      <c r="M394" s="1">
        <v>0.99998523909387727</v>
      </c>
      <c r="N394" s="1">
        <v>0.5669467095138383</v>
      </c>
      <c r="O394" s="1" t="e">
        <v>#N/A</v>
      </c>
      <c r="P394" s="1" t="e">
        <v>#N/A</v>
      </c>
      <c r="S394" s="1">
        <f t="shared" si="423"/>
        <v>7</v>
      </c>
      <c r="T394" s="1">
        <v>245</v>
      </c>
    </row>
    <row r="395" spans="1:20" x14ac:dyDescent="0.3">
      <c r="A395" s="1">
        <f t="shared" si="389"/>
        <v>7246</v>
      </c>
      <c r="B395" s="2">
        <f t="shared" si="449"/>
        <v>-1</v>
      </c>
      <c r="C395" s="2">
        <f t="shared" si="450"/>
        <v>0</v>
      </c>
      <c r="D395" s="2">
        <f t="shared" si="451"/>
        <v>1</v>
      </c>
      <c r="E395" s="28">
        <f t="shared" ref="E395" si="457">ABS(MIN(B392:B406))</f>
        <v>1</v>
      </c>
      <c r="F395" s="26"/>
      <c r="H395" s="26"/>
      <c r="J395" s="1">
        <f t="shared" ref="J395" si="458">J391-1</f>
        <v>3</v>
      </c>
      <c r="M395" s="1" t="s">
        <v>2</v>
      </c>
      <c r="N395" s="1" t="s">
        <v>3</v>
      </c>
      <c r="O395" s="1" t="s">
        <v>4</v>
      </c>
      <c r="P395" s="1" t="s">
        <v>5</v>
      </c>
      <c r="S395" s="1">
        <f t="shared" si="423"/>
        <v>7</v>
      </c>
      <c r="T395" s="1">
        <v>246</v>
      </c>
    </row>
    <row r="396" spans="1:20" x14ac:dyDescent="0.3">
      <c r="A396" s="1">
        <f t="shared" si="389"/>
        <v>7247</v>
      </c>
      <c r="B396" s="2">
        <f t="shared" si="449"/>
        <v>0</v>
      </c>
      <c r="C396" s="2">
        <f t="shared" si="450"/>
        <v>0</v>
      </c>
      <c r="D396" s="2">
        <f t="shared" si="451"/>
        <v>0</v>
      </c>
      <c r="E396" s="28">
        <f t="shared" ref="E396" si="459">ABS(MAX(B392:B406))</f>
        <v>0</v>
      </c>
      <c r="F396" s="26"/>
      <c r="H396" s="26"/>
      <c r="J396" s="1" t="str">
        <f t="shared" ref="J396" si="460">CONCATENATE(J395,"1")</f>
        <v>31</v>
      </c>
      <c r="M396" s="1">
        <f t="array" ref="M396:P398">LINEST($B366:$B370,$C366:$C370^{1,2,3},TRUE,TRUE)</f>
        <v>-1.9999999999999842E-6</v>
      </c>
      <c r="N396" s="1">
        <v>5.1285714285713886E-3</v>
      </c>
      <c r="O396" s="1">
        <v>-3.3685714285713941</v>
      </c>
      <c r="P396" s="1">
        <v>1236.3999999999903</v>
      </c>
      <c r="S396" s="1">
        <f t="shared" si="423"/>
        <v>7</v>
      </c>
      <c r="T396" s="1">
        <v>247</v>
      </c>
    </row>
    <row r="397" spans="1:20" x14ac:dyDescent="0.3">
      <c r="A397" s="1">
        <f t="shared" si="389"/>
        <v>7248</v>
      </c>
      <c r="B397" s="2">
        <f t="shared" si="449"/>
        <v>0</v>
      </c>
      <c r="C397" s="2">
        <f t="shared" si="450"/>
        <v>0</v>
      </c>
      <c r="D397" s="2">
        <f t="shared" si="451"/>
        <v>0</v>
      </c>
      <c r="E397" s="29" t="s">
        <v>33</v>
      </c>
      <c r="F397" s="26"/>
      <c r="J397" s="1" t="str">
        <f t="shared" ref="J397" si="461">CONCATENATE(J395,"2")</f>
        <v>32</v>
      </c>
      <c r="M397" s="1">
        <v>7.5592894601854495E-7</v>
      </c>
      <c r="N397" s="1">
        <v>1.927999915319054E-3</v>
      </c>
      <c r="O397" s="1">
        <v>1.6333526307344568</v>
      </c>
      <c r="P397" s="1">
        <v>459.60103506043362</v>
      </c>
      <c r="S397" s="1">
        <f t="shared" si="423"/>
        <v>7</v>
      </c>
      <c r="T397" s="1">
        <v>248</v>
      </c>
    </row>
    <row r="398" spans="1:20" x14ac:dyDescent="0.3">
      <c r="A398" s="1">
        <f t="shared" si="389"/>
        <v>7249</v>
      </c>
      <c r="B398" s="2">
        <f t="shared" si="449"/>
        <v>0</v>
      </c>
      <c r="C398" s="2">
        <f t="shared" si="450"/>
        <v>0</v>
      </c>
      <c r="D398" s="2">
        <f t="shared" si="451"/>
        <v>0</v>
      </c>
      <c r="E398" s="27">
        <f t="shared" ref="E398" si="462">IF(D352="","",MAX(E399,E400))</f>
        <v>1</v>
      </c>
      <c r="F398" s="26"/>
      <c r="J398" s="1" t="str">
        <f t="shared" ref="J398" si="463">CONCATENATE(J395,"3")</f>
        <v>33</v>
      </c>
      <c r="M398" s="1">
        <v>0.99999483673764422</v>
      </c>
      <c r="N398" s="1">
        <v>0.35856858280035719</v>
      </c>
      <c r="O398" s="1" t="e">
        <v>#N/A</v>
      </c>
      <c r="P398" s="1" t="e">
        <v>#N/A</v>
      </c>
      <c r="S398" s="1">
        <f t="shared" si="423"/>
        <v>7</v>
      </c>
      <c r="T398" s="1">
        <v>249</v>
      </c>
    </row>
    <row r="399" spans="1:20" x14ac:dyDescent="0.3">
      <c r="A399" s="1">
        <f t="shared" si="389"/>
        <v>7250</v>
      </c>
      <c r="B399" s="2">
        <f t="shared" si="449"/>
        <v>0</v>
      </c>
      <c r="C399" s="2">
        <f t="shared" si="450"/>
        <v>0</v>
      </c>
      <c r="D399" s="2">
        <f t="shared" si="451"/>
        <v>0</v>
      </c>
      <c r="E399" s="28">
        <f t="shared" ref="E399" si="464">ABS(MIN(D366:D380))</f>
        <v>1</v>
      </c>
      <c r="F399" s="26"/>
      <c r="J399" s="1">
        <f t="shared" ref="J399" si="465">J395-1</f>
        <v>2</v>
      </c>
      <c r="N399" s="1" t="s">
        <v>3</v>
      </c>
      <c r="O399" s="1" t="s">
        <v>4</v>
      </c>
      <c r="P399" s="1" t="s">
        <v>5</v>
      </c>
      <c r="S399" s="1">
        <f t="shared" si="423"/>
        <v>7</v>
      </c>
      <c r="T399" s="1">
        <v>250</v>
      </c>
    </row>
    <row r="400" spans="1:20" x14ac:dyDescent="0.3">
      <c r="A400" s="1">
        <f t="shared" si="389"/>
        <v>7251</v>
      </c>
      <c r="B400" s="2">
        <f t="shared" si="449"/>
        <v>0</v>
      </c>
      <c r="C400" s="2">
        <f t="shared" si="450"/>
        <v>0</v>
      </c>
      <c r="D400" s="2">
        <f t="shared" si="451"/>
        <v>0</v>
      </c>
      <c r="E400" s="28">
        <f t="shared" ref="E400" si="466">ABS(MAX(D366:D380))</f>
        <v>1</v>
      </c>
      <c r="F400" s="26"/>
      <c r="J400" s="1" t="str">
        <f t="shared" ref="J400" si="467">CONCATENATE(J399,"1")</f>
        <v>21</v>
      </c>
      <c r="N400" s="1">
        <f t="array" ref="N400:P402">LINEST($B366:$B369,$C366:$C369^{1,2},TRUE,TRUE)</f>
        <v>1.9999999999999635E-4</v>
      </c>
      <c r="O400" s="1">
        <v>0.67000000000000581</v>
      </c>
      <c r="P400" s="1">
        <v>135.99999999999773</v>
      </c>
      <c r="S400" s="1">
        <f t="shared" si="423"/>
        <v>7</v>
      </c>
      <c r="T400" s="1">
        <v>251</v>
      </c>
    </row>
    <row r="401" spans="1:20" x14ac:dyDescent="0.3">
      <c r="A401" s="1">
        <f t="shared" si="389"/>
        <v>7252</v>
      </c>
      <c r="B401" s="2">
        <f t="shared" si="449"/>
        <v>0</v>
      </c>
      <c r="C401" s="2">
        <f t="shared" si="450"/>
        <v>0</v>
      </c>
      <c r="D401" s="2">
        <f t="shared" si="451"/>
        <v>0</v>
      </c>
      <c r="E401" s="26"/>
      <c r="F401" s="26"/>
      <c r="J401" s="1" t="str">
        <f t="shared" ref="J401" si="468">CONCATENATE(J399,"2")</f>
        <v>22</v>
      </c>
      <c r="N401" s="1">
        <v>4.3742787170230995E-18</v>
      </c>
      <c r="O401" s="1">
        <v>7.2202104743941727E-15</v>
      </c>
      <c r="P401" s="1">
        <v>2.9679851794272877E-12</v>
      </c>
      <c r="S401" s="1">
        <f t="shared" si="423"/>
        <v>7</v>
      </c>
      <c r="T401" s="1">
        <v>252</v>
      </c>
    </row>
    <row r="402" spans="1:20" x14ac:dyDescent="0.3">
      <c r="A402" s="1">
        <f t="shared" si="389"/>
        <v>7253</v>
      </c>
      <c r="B402" s="2">
        <f t="shared" si="449"/>
        <v>0</v>
      </c>
      <c r="C402" s="2">
        <f t="shared" si="450"/>
        <v>0</v>
      </c>
      <c r="D402" s="2">
        <f t="shared" si="451"/>
        <v>0</v>
      </c>
      <c r="E402" s="26"/>
      <c r="F402" s="26"/>
      <c r="J402" s="1" t="str">
        <f t="shared" ref="J402" si="469">CONCATENATE(J399,"3")</f>
        <v>23</v>
      </c>
      <c r="N402" s="1">
        <v>1</v>
      </c>
      <c r="O402" s="1">
        <v>2.1871393585115584E-14</v>
      </c>
      <c r="P402" s="1" t="e">
        <v>#N/A</v>
      </c>
      <c r="S402" s="1">
        <f t="shared" si="423"/>
        <v>7</v>
      </c>
      <c r="T402" s="1">
        <v>253</v>
      </c>
    </row>
    <row r="403" spans="1:20" x14ac:dyDescent="0.3">
      <c r="A403" s="1">
        <f t="shared" si="389"/>
        <v>7254</v>
      </c>
      <c r="B403" s="2">
        <f t="shared" si="449"/>
        <v>0</v>
      </c>
      <c r="C403" s="2">
        <f t="shared" si="450"/>
        <v>0</v>
      </c>
      <c r="D403" s="2">
        <f t="shared" si="451"/>
        <v>0</v>
      </c>
      <c r="E403" s="26"/>
      <c r="F403" s="26"/>
      <c r="J403" s="1">
        <f t="shared" ref="J403" si="470">J399-1</f>
        <v>1</v>
      </c>
      <c r="O403" s="1" t="s">
        <v>4</v>
      </c>
      <c r="P403" s="1" t="s">
        <v>5</v>
      </c>
      <c r="S403" s="1">
        <f t="shared" si="423"/>
        <v>7</v>
      </c>
      <c r="T403" s="1">
        <v>254</v>
      </c>
    </row>
    <row r="404" spans="1:20" x14ac:dyDescent="0.3">
      <c r="A404" s="1">
        <f t="shared" si="389"/>
        <v>7255</v>
      </c>
      <c r="B404" s="2">
        <f t="shared" si="449"/>
        <v>0</v>
      </c>
      <c r="C404" s="2">
        <f t="shared" si="450"/>
        <v>0</v>
      </c>
      <c r="D404" s="2">
        <f t="shared" si="451"/>
        <v>0</v>
      </c>
      <c r="E404" s="26"/>
      <c r="F404" s="26"/>
      <c r="J404" s="1" t="str">
        <f t="shared" ref="J404" si="471">CONCATENATE(J403,"1")</f>
        <v>11</v>
      </c>
      <c r="O404" s="1">
        <f t="array" ref="O404:P406">LINEST($B366:$B368,$C366:$C368^{1},TRUE,TRUE)</f>
        <v>0.9900000000000001</v>
      </c>
      <c r="P404" s="1">
        <v>8.3333333333332575</v>
      </c>
      <c r="S404" s="1">
        <f t="shared" si="423"/>
        <v>7</v>
      </c>
      <c r="T404" s="1">
        <v>255</v>
      </c>
    </row>
    <row r="405" spans="1:20" x14ac:dyDescent="0.3">
      <c r="A405" s="1">
        <f t="shared" si="389"/>
        <v>7256</v>
      </c>
      <c r="B405" s="2">
        <f t="shared" si="449"/>
        <v>0</v>
      </c>
      <c r="C405" s="2">
        <f t="shared" si="450"/>
        <v>0</v>
      </c>
      <c r="D405" s="2">
        <f t="shared" si="451"/>
        <v>0</v>
      </c>
      <c r="E405" s="26"/>
      <c r="F405" s="26"/>
      <c r="J405" s="1" t="str">
        <f t="shared" ref="J405" si="472">CONCATENATE(J403,"2")</f>
        <v>12</v>
      </c>
      <c r="O405" s="1">
        <v>5.7735026918962094E-3</v>
      </c>
      <c r="P405" s="1">
        <v>4.6248123085038308</v>
      </c>
      <c r="S405" s="1">
        <f t="shared" si="423"/>
        <v>7</v>
      </c>
      <c r="T405" s="1">
        <v>256</v>
      </c>
    </row>
    <row r="406" spans="1:20" x14ac:dyDescent="0.3">
      <c r="A406" s="1">
        <f t="shared" si="389"/>
        <v>7257</v>
      </c>
      <c r="B406" s="2">
        <f t="shared" si="449"/>
        <v>0</v>
      </c>
      <c r="C406" s="2">
        <f t="shared" si="450"/>
        <v>0</v>
      </c>
      <c r="D406" s="2">
        <f t="shared" si="451"/>
        <v>0</v>
      </c>
      <c r="E406" s="30"/>
      <c r="F406" s="30"/>
      <c r="J406" s="1" t="str">
        <f t="shared" ref="J406" si="473">CONCATENATE(J403,"3")</f>
        <v>13</v>
      </c>
      <c r="O406" s="1">
        <v>0.99996599102162964</v>
      </c>
      <c r="P406" s="1">
        <v>0.40824829046385958</v>
      </c>
      <c r="S406" s="1">
        <f t="shared" si="423"/>
        <v>7</v>
      </c>
      <c r="T406" s="1">
        <v>257</v>
      </c>
    </row>
    <row r="407" spans="1:20" s="8" customFormat="1" x14ac:dyDescent="0.3"/>
    <row r="408" spans="1:20" x14ac:dyDescent="0.3">
      <c r="A408" s="1">
        <f t="shared" ref="A408:A464" si="474">ROUND(CONCATENATE(S408,T408),0)</f>
        <v>8201</v>
      </c>
      <c r="B408" s="57" t="s">
        <v>0</v>
      </c>
      <c r="C408" s="57"/>
      <c r="D408" s="56" t="s">
        <v>46</v>
      </c>
      <c r="E408" s="56"/>
      <c r="F408" s="56"/>
      <c r="G408" s="56"/>
      <c r="H408" s="56"/>
      <c r="L408" s="1">
        <v>1</v>
      </c>
      <c r="M408" s="1">
        <v>2</v>
      </c>
      <c r="N408" s="1">
        <v>3</v>
      </c>
      <c r="O408" s="1">
        <v>4</v>
      </c>
      <c r="P408" s="1">
        <v>5</v>
      </c>
      <c r="Q408" s="1">
        <v>6</v>
      </c>
      <c r="R408" s="1">
        <v>7</v>
      </c>
      <c r="S408" s="1">
        <f t="shared" ref="S408" si="475">S406+1</f>
        <v>8</v>
      </c>
      <c r="T408" s="1">
        <v>201</v>
      </c>
    </row>
    <row r="409" spans="1:20" x14ac:dyDescent="0.3">
      <c r="A409" s="1">
        <f t="shared" si="474"/>
        <v>8202</v>
      </c>
      <c r="B409" s="57"/>
      <c r="C409" s="57"/>
      <c r="D409" s="57"/>
      <c r="E409" s="57"/>
      <c r="F409" s="57"/>
      <c r="G409" s="57"/>
      <c r="H409" s="57"/>
      <c r="K409" s="2" t="s">
        <v>1</v>
      </c>
      <c r="L409" s="2"/>
      <c r="M409" s="2" t="s">
        <v>2</v>
      </c>
      <c r="N409" s="2" t="s">
        <v>3</v>
      </c>
      <c r="O409" s="2" t="s">
        <v>4</v>
      </c>
      <c r="P409" s="2" t="s">
        <v>5</v>
      </c>
      <c r="S409" s="1">
        <f t="shared" ref="S409" si="476">S408</f>
        <v>8</v>
      </c>
      <c r="T409" s="1">
        <v>202</v>
      </c>
    </row>
    <row r="410" spans="1:20" x14ac:dyDescent="0.3">
      <c r="A410" s="1">
        <f t="shared" si="474"/>
        <v>8203</v>
      </c>
      <c r="B410" s="64" t="s">
        <v>6</v>
      </c>
      <c r="C410" s="64"/>
      <c r="D410" s="56" t="s">
        <v>108</v>
      </c>
      <c r="E410" s="56"/>
      <c r="F410" s="56"/>
      <c r="G410" s="56"/>
      <c r="H410" s="56"/>
      <c r="K410" s="3">
        <f t="shared" ref="K410" ca="1" si="477">IF(K412&gt;=3,N412,LOOKUP(15-($B439+1),M408:R408,M412:P412))</f>
        <v>0</v>
      </c>
      <c r="L410" s="2" t="str">
        <f t="shared" ref="L410" si="478">CONCATENATE($B439,"1")</f>
        <v>11</v>
      </c>
      <c r="M410" s="2">
        <f t="shared" ref="M410" si="479">VLOOKUP(L410,J413:P464,O408,FALSE)</f>
        <v>0</v>
      </c>
      <c r="N410" s="2">
        <f t="shared" ref="N410" si="480">VLOOKUP(L410,J413:P464,P408,FALSE)</f>
        <v>0</v>
      </c>
      <c r="O410" s="2">
        <f t="shared" ref="O410" si="481">VLOOKUP(L410,J413:P464,Q408,FALSE)</f>
        <v>1.0000000000000002</v>
      </c>
      <c r="P410" s="2">
        <f t="shared" ref="P410" si="482">VLOOKUP(L410,J413:P464,R408,FALSE)</f>
        <v>-2.2737367544323206E-13</v>
      </c>
      <c r="S410" s="1">
        <f t="shared" si="423"/>
        <v>8</v>
      </c>
      <c r="T410" s="1">
        <v>203</v>
      </c>
    </row>
    <row r="411" spans="1:20" x14ac:dyDescent="0.3">
      <c r="A411" s="1">
        <f t="shared" si="474"/>
        <v>8204</v>
      </c>
      <c r="B411" s="57" t="s">
        <v>7</v>
      </c>
      <c r="C411" s="57"/>
      <c r="D411" s="56" t="s">
        <v>98</v>
      </c>
      <c r="E411" s="56"/>
      <c r="F411" s="56"/>
      <c r="G411" s="56"/>
      <c r="H411" s="56"/>
      <c r="K411" s="2" t="s">
        <v>8</v>
      </c>
      <c r="L411" s="2" t="str">
        <f t="shared" ref="L411" si="483">CONCATENATE($B439,"2")</f>
        <v>12</v>
      </c>
      <c r="M411" s="2">
        <f t="shared" ref="M411" si="484">VLOOKUP(L411,J413:P464,O408,FALSE)</f>
        <v>0</v>
      </c>
      <c r="N411" s="2">
        <f t="shared" ref="N411" si="485">VLOOKUP(L411,J413:P464,P408,FALSE)</f>
        <v>0</v>
      </c>
      <c r="O411" s="2">
        <f t="shared" ref="O411" si="486">VLOOKUP(L411,J413:P464,Q408,FALSE)</f>
        <v>0</v>
      </c>
      <c r="P411" s="2">
        <f t="shared" ref="P411" si="487">VLOOKUP(L411,J413:P464,R408,FALSE)</f>
        <v>0</v>
      </c>
      <c r="S411" s="1">
        <f t="shared" si="423"/>
        <v>8</v>
      </c>
      <c r="T411" s="1">
        <v>204</v>
      </c>
    </row>
    <row r="412" spans="1:20" x14ac:dyDescent="0.3">
      <c r="A412" s="1">
        <f t="shared" si="474"/>
        <v>8205</v>
      </c>
      <c r="B412" s="57" t="s">
        <v>9</v>
      </c>
      <c r="C412" s="57"/>
      <c r="D412" s="56" t="s">
        <v>91</v>
      </c>
      <c r="E412" s="56"/>
      <c r="F412" s="56"/>
      <c r="G412" s="56"/>
      <c r="H412" s="56"/>
      <c r="K412" s="3">
        <f t="shared" ref="K412" si="488">IF(B439&gt;3,3,B439)</f>
        <v>1</v>
      </c>
      <c r="L412" s="2" t="str">
        <f t="shared" ref="L412" si="489">CONCATENATE($B439,"3")</f>
        <v>13</v>
      </c>
      <c r="M412" s="2">
        <f t="shared" ref="M412" si="490">VLOOKUP(L412,J413:P464,O408,FALSE)</f>
        <v>0</v>
      </c>
      <c r="N412" s="2">
        <f t="shared" ref="N412" si="491">VLOOKUP(L412,J413:P464,P408,FALSE)</f>
        <v>0</v>
      </c>
      <c r="O412" s="2">
        <f t="shared" ref="O412" si="492">VLOOKUP(L412,J413:P464,Q408,FALSE)</f>
        <v>1</v>
      </c>
      <c r="P412" s="2">
        <f t="shared" ref="P412" si="493">VLOOKUP(L412,J413:P464,R408,FALSE)</f>
        <v>0</v>
      </c>
      <c r="S412" s="1">
        <f t="shared" si="423"/>
        <v>8</v>
      </c>
      <c r="T412" s="1">
        <v>205</v>
      </c>
    </row>
    <row r="413" spans="1:20" x14ac:dyDescent="0.3">
      <c r="A413" s="1">
        <f t="shared" si="474"/>
        <v>8206</v>
      </c>
      <c r="B413" s="57" t="s">
        <v>10</v>
      </c>
      <c r="C413" s="57"/>
      <c r="D413" s="62" t="s">
        <v>140</v>
      </c>
      <c r="E413" s="56"/>
      <c r="F413" s="56"/>
      <c r="G413" s="56"/>
      <c r="H413" s="56"/>
      <c r="J413" s="1">
        <v>13</v>
      </c>
      <c r="M413" s="1" t="s">
        <v>2</v>
      </c>
      <c r="N413" s="1" t="s">
        <v>3</v>
      </c>
      <c r="O413" s="1" t="s">
        <v>4</v>
      </c>
      <c r="P413" s="1" t="s">
        <v>5</v>
      </c>
      <c r="S413" s="1">
        <f t="shared" si="423"/>
        <v>8</v>
      </c>
      <c r="T413" s="1">
        <v>206</v>
      </c>
    </row>
    <row r="414" spans="1:20" x14ac:dyDescent="0.3">
      <c r="A414" s="1">
        <f t="shared" si="474"/>
        <v>8207</v>
      </c>
      <c r="B414" s="57" t="s">
        <v>11</v>
      </c>
      <c r="C414" s="57"/>
      <c r="D414" s="63">
        <v>45822</v>
      </c>
      <c r="E414" s="63"/>
      <c r="F414" s="63"/>
      <c r="G414" s="63"/>
      <c r="H414" s="63"/>
      <c r="J414" s="1" t="str">
        <f t="shared" ref="J414" si="494">CONCATENATE(J413,"1")</f>
        <v>131</v>
      </c>
      <c r="M414" s="1" t="e">
        <f t="array" ref="M414:P416">LINEST($B424:$B438,$C424:$C438^{1,2,3},TRUE,TRUE)</f>
        <v>#VALUE!</v>
      </c>
      <c r="N414" s="1" t="e">
        <v>#VALUE!</v>
      </c>
      <c r="O414" s="1" t="e">
        <v>#VALUE!</v>
      </c>
      <c r="P414" s="1" t="e">
        <v>#VALUE!</v>
      </c>
      <c r="S414" s="1">
        <f t="shared" si="423"/>
        <v>8</v>
      </c>
      <c r="T414" s="1">
        <v>207</v>
      </c>
    </row>
    <row r="415" spans="1:20" x14ac:dyDescent="0.3">
      <c r="A415" s="1">
        <f t="shared" si="474"/>
        <v>8208</v>
      </c>
      <c r="B415" s="57" t="s">
        <v>12</v>
      </c>
      <c r="C415" s="57"/>
      <c r="D415" s="58">
        <v>46203</v>
      </c>
      <c r="E415" s="58"/>
      <c r="F415" s="58"/>
      <c r="G415" s="58"/>
      <c r="H415" s="58"/>
      <c r="J415" s="1" t="str">
        <f t="shared" ref="J415" si="495">CONCATENATE(J413,"2")</f>
        <v>132</v>
      </c>
      <c r="M415" s="1" t="e">
        <v>#VALUE!</v>
      </c>
      <c r="N415" s="1" t="e">
        <v>#VALUE!</v>
      </c>
      <c r="O415" s="1" t="e">
        <v>#VALUE!</v>
      </c>
      <c r="P415" s="1" t="e">
        <v>#VALUE!</v>
      </c>
      <c r="S415" s="1">
        <f t="shared" si="423"/>
        <v>8</v>
      </c>
      <c r="T415" s="1">
        <v>208</v>
      </c>
    </row>
    <row r="416" spans="1:20" x14ac:dyDescent="0.3">
      <c r="A416" s="1">
        <f t="shared" si="474"/>
        <v>8209</v>
      </c>
      <c r="B416" s="57" t="s">
        <v>13</v>
      </c>
      <c r="C416" s="57"/>
      <c r="D416" s="9">
        <v>0.1</v>
      </c>
      <c r="E416" s="54" t="s">
        <v>14</v>
      </c>
      <c r="F416" s="54"/>
      <c r="G416" s="54"/>
      <c r="H416" s="9" t="s">
        <v>59</v>
      </c>
      <c r="J416" s="1" t="str">
        <f t="shared" ref="J416" si="496">CONCATENATE(J413,"3")</f>
        <v>133</v>
      </c>
      <c r="M416" s="1" t="e">
        <v>#VALUE!</v>
      </c>
      <c r="N416" s="1" t="e">
        <v>#VALUE!</v>
      </c>
      <c r="O416" s="1" t="e">
        <v>#VALUE!</v>
      </c>
      <c r="P416" s="1" t="e">
        <v>#VALUE!</v>
      </c>
      <c r="S416" s="1">
        <f t="shared" si="423"/>
        <v>8</v>
      </c>
      <c r="T416" s="1">
        <v>209</v>
      </c>
    </row>
    <row r="417" spans="1:20" x14ac:dyDescent="0.3">
      <c r="A417" s="1">
        <f t="shared" si="474"/>
        <v>8210</v>
      </c>
      <c r="B417" s="57" t="s">
        <v>15</v>
      </c>
      <c r="C417" s="57"/>
      <c r="D417" s="2">
        <f t="shared" ref="D417" si="497">MIN(B424:B438)</f>
        <v>910</v>
      </c>
      <c r="E417" s="4" t="s">
        <v>16</v>
      </c>
      <c r="F417" s="2">
        <f t="shared" ref="F417" si="498">MAX(B424:B438)</f>
        <v>950</v>
      </c>
      <c r="G417" s="5" t="str">
        <f t="shared" ref="G417" si="499">IF(H416="","",H416)</f>
        <v>hPa</v>
      </c>
      <c r="H417" s="23"/>
      <c r="J417" s="1">
        <f t="shared" ref="J417" si="500">J413-1</f>
        <v>12</v>
      </c>
      <c r="M417" s="1" t="s">
        <v>2</v>
      </c>
      <c r="N417" s="1" t="s">
        <v>3</v>
      </c>
      <c r="O417" s="1" t="s">
        <v>4</v>
      </c>
      <c r="P417" s="1" t="s">
        <v>5</v>
      </c>
      <c r="S417" s="1">
        <f t="shared" si="423"/>
        <v>8</v>
      </c>
      <c r="T417" s="1">
        <v>210</v>
      </c>
    </row>
    <row r="418" spans="1:20" x14ac:dyDescent="0.3">
      <c r="A418" s="1">
        <f t="shared" si="474"/>
        <v>8211</v>
      </c>
      <c r="J418" s="1" t="str">
        <f t="shared" ref="J418" si="501">CONCATENATE(J417,"1")</f>
        <v>121</v>
      </c>
      <c r="M418" s="1" t="e">
        <f t="array" ref="M418:P420">LINEST($B424:$B437,$C424:$C437^{1,2,3},TRUE,TRUE)</f>
        <v>#VALUE!</v>
      </c>
      <c r="N418" s="1" t="e">
        <v>#VALUE!</v>
      </c>
      <c r="O418" s="1" t="e">
        <v>#VALUE!</v>
      </c>
      <c r="P418" s="1" t="e">
        <v>#VALUE!</v>
      </c>
      <c r="S418" s="1">
        <f t="shared" si="423"/>
        <v>8</v>
      </c>
      <c r="T418" s="1">
        <v>211</v>
      </c>
    </row>
    <row r="419" spans="1:20" x14ac:dyDescent="0.3">
      <c r="A419" s="1">
        <f t="shared" si="474"/>
        <v>8212</v>
      </c>
      <c r="B419" s="59" t="s">
        <v>17</v>
      </c>
      <c r="C419" s="59"/>
      <c r="D419" s="59"/>
      <c r="E419" s="59"/>
      <c r="F419" s="59"/>
      <c r="G419" s="60" t="s">
        <v>29</v>
      </c>
      <c r="H419" s="61"/>
      <c r="J419" s="1" t="str">
        <f t="shared" ref="J419" si="502">CONCATENATE(J417,"2")</f>
        <v>122</v>
      </c>
      <c r="M419" s="1" t="e">
        <v>#VALUE!</v>
      </c>
      <c r="N419" s="1" t="e">
        <v>#VALUE!</v>
      </c>
      <c r="O419" s="1" t="e">
        <v>#VALUE!</v>
      </c>
      <c r="P419" s="1" t="e">
        <v>#VALUE!</v>
      </c>
      <c r="S419" s="1">
        <f t="shared" si="423"/>
        <v>8</v>
      </c>
      <c r="T419" s="1">
        <v>212</v>
      </c>
    </row>
    <row r="420" spans="1:20" x14ac:dyDescent="0.3">
      <c r="A420" s="1">
        <f t="shared" si="474"/>
        <v>8213</v>
      </c>
      <c r="B420" s="54" t="s">
        <v>18</v>
      </c>
      <c r="C420" s="54"/>
      <c r="D420" s="54"/>
      <c r="E420" s="54" t="str">
        <f t="shared" ref="E420" si="503">IF(D413="","",D413)</f>
        <v>E0396B/25</v>
      </c>
      <c r="F420" s="54"/>
      <c r="G420" s="5" t="s">
        <v>18</v>
      </c>
      <c r="H420" s="20" t="s">
        <v>100</v>
      </c>
      <c r="J420" s="1" t="str">
        <f t="shared" ref="J420" si="504">CONCATENATE(J417,"3")</f>
        <v>123</v>
      </c>
      <c r="M420" s="1" t="e">
        <v>#VALUE!</v>
      </c>
      <c r="N420" s="1" t="e">
        <v>#VALUE!</v>
      </c>
      <c r="O420" s="1" t="e">
        <v>#VALUE!</v>
      </c>
      <c r="P420" s="1" t="e">
        <v>#VALUE!</v>
      </c>
      <c r="S420" s="1">
        <f t="shared" si="423"/>
        <v>8</v>
      </c>
      <c r="T420" s="1">
        <v>213</v>
      </c>
    </row>
    <row r="421" spans="1:20" ht="15" customHeight="1" x14ac:dyDescent="0.3">
      <c r="A421" s="1">
        <f t="shared" si="474"/>
        <v>8214</v>
      </c>
      <c r="B421" s="6" t="s">
        <v>19</v>
      </c>
      <c r="C421" s="6" t="s">
        <v>20</v>
      </c>
      <c r="D421" s="6" t="s">
        <v>21</v>
      </c>
      <c r="E421" s="6"/>
      <c r="F421" s="55" t="s">
        <v>31</v>
      </c>
      <c r="G421" s="6" t="s">
        <v>19</v>
      </c>
      <c r="H421" s="6" t="s">
        <v>20</v>
      </c>
      <c r="J421" s="1">
        <f t="shared" ref="J421" si="505">J417-1</f>
        <v>11</v>
      </c>
      <c r="M421" s="1" t="s">
        <v>2</v>
      </c>
      <c r="N421" s="1" t="s">
        <v>3</v>
      </c>
      <c r="O421" s="1" t="s">
        <v>4</v>
      </c>
      <c r="P421" s="1" t="s">
        <v>5</v>
      </c>
      <c r="S421" s="1">
        <f t="shared" si="423"/>
        <v>8</v>
      </c>
      <c r="T421" s="1">
        <v>214</v>
      </c>
    </row>
    <row r="422" spans="1:20" x14ac:dyDescent="0.3">
      <c r="A422" s="1">
        <f t="shared" si="474"/>
        <v>8215</v>
      </c>
      <c r="B422" s="6" t="s">
        <v>22</v>
      </c>
      <c r="C422" s="6" t="s">
        <v>23</v>
      </c>
      <c r="D422" s="6" t="s">
        <v>24</v>
      </c>
      <c r="E422" s="6" t="s">
        <v>30</v>
      </c>
      <c r="F422" s="55"/>
      <c r="G422" s="6" t="s">
        <v>22</v>
      </c>
      <c r="H422" s="6" t="s">
        <v>23</v>
      </c>
      <c r="J422" s="1" t="str">
        <f t="shared" ref="J422" si="506">CONCATENATE(J421,"1")</f>
        <v>111</v>
      </c>
      <c r="M422" s="1" t="e">
        <f t="array" ref="M422:P424">LINEST($B424:$B436,$C424:$C436^{1,2,3},TRUE,TRUE)</f>
        <v>#VALUE!</v>
      </c>
      <c r="N422" s="1" t="e">
        <v>#VALUE!</v>
      </c>
      <c r="O422" s="1" t="e">
        <v>#VALUE!</v>
      </c>
      <c r="P422" s="1" t="e">
        <v>#VALUE!</v>
      </c>
      <c r="S422" s="1">
        <f t="shared" si="423"/>
        <v>8</v>
      </c>
      <c r="T422" s="1">
        <v>215</v>
      </c>
    </row>
    <row r="423" spans="1:20" x14ac:dyDescent="0.3">
      <c r="A423" s="1">
        <f t="shared" si="474"/>
        <v>8216</v>
      </c>
      <c r="B423" s="7" t="str">
        <f t="shared" ref="B423" si="507">IF(H416="","",H416)</f>
        <v>hPa</v>
      </c>
      <c r="C423" s="7" t="str">
        <f t="shared" ref="C423" si="508">IF(H416="","",H416)</f>
        <v>hPa</v>
      </c>
      <c r="D423" s="7" t="str">
        <f t="shared" ref="D423" si="509">IF(H416="","",H416)</f>
        <v>hPa</v>
      </c>
      <c r="E423" s="7"/>
      <c r="F423" s="7" t="str">
        <f t="shared" ref="F423" si="510">IF(I416="","",I416)</f>
        <v/>
      </c>
      <c r="G423" s="7" t="str">
        <f t="shared" ref="G423" si="511">IF(H416="","",H416)</f>
        <v>hPa</v>
      </c>
      <c r="H423" s="7" t="str">
        <f t="shared" ref="H423" si="512">IF(H416="","",H416)</f>
        <v>hPa</v>
      </c>
      <c r="J423" s="1" t="str">
        <f t="shared" ref="J423" si="513">CONCATENATE(J421,"2")</f>
        <v>112</v>
      </c>
      <c r="M423" s="1" t="e">
        <v>#VALUE!</v>
      </c>
      <c r="N423" s="1" t="e">
        <v>#VALUE!</v>
      </c>
      <c r="O423" s="1" t="e">
        <v>#VALUE!</v>
      </c>
      <c r="P423" s="1" t="e">
        <v>#VALUE!</v>
      </c>
      <c r="S423" s="1">
        <f t="shared" si="423"/>
        <v>8</v>
      </c>
      <c r="T423" s="1">
        <v>216</v>
      </c>
    </row>
    <row r="424" spans="1:20" x14ac:dyDescent="0.3">
      <c r="A424" s="1">
        <f t="shared" si="474"/>
        <v>8217</v>
      </c>
      <c r="B424" s="24">
        <v>910</v>
      </c>
      <c r="C424" s="24">
        <v>910</v>
      </c>
      <c r="D424" s="24">
        <v>0.2</v>
      </c>
      <c r="E424" s="24">
        <v>2</v>
      </c>
      <c r="F424" s="24">
        <v>1000000</v>
      </c>
      <c r="G424" s="25">
        <v>910</v>
      </c>
      <c r="H424" s="25">
        <v>910</v>
      </c>
      <c r="J424" s="1" t="str">
        <f t="shared" ref="J424" si="514">CONCATENATE(J421,"3")</f>
        <v>113</v>
      </c>
      <c r="M424" s="1" t="e">
        <v>#VALUE!</v>
      </c>
      <c r="N424" s="1" t="e">
        <v>#VALUE!</v>
      </c>
      <c r="O424" s="1" t="e">
        <v>#VALUE!</v>
      </c>
      <c r="P424" s="1" t="e">
        <v>#VALUE!</v>
      </c>
      <c r="S424" s="1">
        <f t="shared" si="423"/>
        <v>8</v>
      </c>
      <c r="T424" s="1">
        <v>217</v>
      </c>
    </row>
    <row r="425" spans="1:20" x14ac:dyDescent="0.3">
      <c r="A425" s="1">
        <f t="shared" si="474"/>
        <v>8218</v>
      </c>
      <c r="B425" s="24">
        <v>930</v>
      </c>
      <c r="C425" s="24">
        <v>930</v>
      </c>
      <c r="D425" s="24">
        <v>0.2</v>
      </c>
      <c r="E425" s="24">
        <v>2</v>
      </c>
      <c r="F425" s="24">
        <v>1000000</v>
      </c>
      <c r="G425" s="25">
        <v>930</v>
      </c>
      <c r="H425" s="25">
        <v>930</v>
      </c>
      <c r="J425" s="1">
        <f t="shared" ref="J425" si="515">J421-1</f>
        <v>10</v>
      </c>
      <c r="M425" s="1" t="s">
        <v>2</v>
      </c>
      <c r="N425" s="1" t="s">
        <v>3</v>
      </c>
      <c r="O425" s="1" t="s">
        <v>4</v>
      </c>
      <c r="P425" s="1" t="s">
        <v>5</v>
      </c>
      <c r="S425" s="1">
        <f t="shared" si="423"/>
        <v>8</v>
      </c>
      <c r="T425" s="1">
        <v>218</v>
      </c>
    </row>
    <row r="426" spans="1:20" x14ac:dyDescent="0.3">
      <c r="A426" s="1">
        <f t="shared" si="474"/>
        <v>8219</v>
      </c>
      <c r="B426" s="24">
        <v>950</v>
      </c>
      <c r="C426" s="24">
        <v>950</v>
      </c>
      <c r="D426" s="24">
        <v>0.2</v>
      </c>
      <c r="E426" s="24">
        <v>2</v>
      </c>
      <c r="F426" s="24">
        <v>1000000</v>
      </c>
      <c r="G426" s="25">
        <v>950</v>
      </c>
      <c r="H426" s="25">
        <v>950</v>
      </c>
      <c r="J426" s="1" t="str">
        <f t="shared" ref="J426" si="516">CONCATENATE(J425,"1")</f>
        <v>101</v>
      </c>
      <c r="M426" s="1" t="e">
        <f t="array" ref="M426:P428">LINEST($B424:$B435,$C424:$C435^{1,2,3},TRUE,TRUE)</f>
        <v>#VALUE!</v>
      </c>
      <c r="N426" s="1" t="e">
        <v>#VALUE!</v>
      </c>
      <c r="O426" s="1" t="e">
        <v>#VALUE!</v>
      </c>
      <c r="P426" s="1" t="e">
        <v>#VALUE!</v>
      </c>
      <c r="S426" s="1">
        <f t="shared" si="423"/>
        <v>8</v>
      </c>
      <c r="T426" s="1">
        <v>219</v>
      </c>
    </row>
    <row r="427" spans="1:20" x14ac:dyDescent="0.3">
      <c r="A427" s="1">
        <f t="shared" si="474"/>
        <v>8220</v>
      </c>
      <c r="B427" s="24"/>
      <c r="C427" s="24"/>
      <c r="D427" s="24"/>
      <c r="E427" s="24"/>
      <c r="F427" s="24"/>
      <c r="G427" s="25"/>
      <c r="H427" s="25"/>
      <c r="J427" s="1" t="str">
        <f t="shared" ref="J427" si="517">CONCATENATE(J425,"2")</f>
        <v>102</v>
      </c>
      <c r="M427" s="1" t="e">
        <v>#VALUE!</v>
      </c>
      <c r="N427" s="1" t="e">
        <v>#VALUE!</v>
      </c>
      <c r="O427" s="1" t="e">
        <v>#VALUE!</v>
      </c>
      <c r="P427" s="1" t="e">
        <v>#VALUE!</v>
      </c>
      <c r="S427" s="1">
        <f t="shared" si="423"/>
        <v>8</v>
      </c>
      <c r="T427" s="1">
        <v>220</v>
      </c>
    </row>
    <row r="428" spans="1:20" x14ac:dyDescent="0.3">
      <c r="A428" s="1">
        <f t="shared" si="474"/>
        <v>8221</v>
      </c>
      <c r="B428" s="24"/>
      <c r="C428" s="24"/>
      <c r="D428" s="24"/>
      <c r="E428" s="24"/>
      <c r="F428" s="24"/>
      <c r="G428" s="25"/>
      <c r="H428" s="25"/>
      <c r="J428" s="1" t="str">
        <f t="shared" ref="J428" si="518">CONCATENATE(J425,"3")</f>
        <v>103</v>
      </c>
      <c r="M428" s="1" t="e">
        <v>#VALUE!</v>
      </c>
      <c r="N428" s="1" t="e">
        <v>#VALUE!</v>
      </c>
      <c r="O428" s="1" t="e">
        <v>#VALUE!</v>
      </c>
      <c r="P428" s="1" t="e">
        <v>#VALUE!</v>
      </c>
      <c r="S428" s="1">
        <f t="shared" si="423"/>
        <v>8</v>
      </c>
      <c r="T428" s="1">
        <v>221</v>
      </c>
    </row>
    <row r="429" spans="1:20" x14ac:dyDescent="0.3">
      <c r="A429" s="1">
        <f t="shared" si="474"/>
        <v>8222</v>
      </c>
      <c r="B429" s="24"/>
      <c r="C429" s="24"/>
      <c r="D429" s="24"/>
      <c r="E429" s="24"/>
      <c r="F429" s="24"/>
      <c r="G429" s="25"/>
      <c r="H429" s="25"/>
      <c r="J429" s="1">
        <f t="shared" ref="J429" si="519">J425-1</f>
        <v>9</v>
      </c>
      <c r="M429" s="1" t="s">
        <v>2</v>
      </c>
      <c r="N429" s="1" t="s">
        <v>3</v>
      </c>
      <c r="O429" s="1" t="s">
        <v>4</v>
      </c>
      <c r="P429" s="1" t="s">
        <v>5</v>
      </c>
      <c r="S429" s="1">
        <f t="shared" si="423"/>
        <v>8</v>
      </c>
      <c r="T429" s="1">
        <v>222</v>
      </c>
    </row>
    <row r="430" spans="1:20" x14ac:dyDescent="0.3">
      <c r="A430" s="1">
        <f t="shared" si="474"/>
        <v>8223</v>
      </c>
      <c r="B430" s="24"/>
      <c r="C430" s="24"/>
      <c r="D430" s="24"/>
      <c r="E430" s="24"/>
      <c r="F430" s="24"/>
      <c r="G430" s="25"/>
      <c r="H430" s="25"/>
      <c r="J430" s="1" t="str">
        <f t="shared" ref="J430" si="520">CONCATENATE(J429,"1")</f>
        <v>91</v>
      </c>
      <c r="M430" s="1" t="e">
        <f t="array" ref="M430:P432">LINEST($B424:$B434,$C424:$C434^{1,2,3},TRUE,TRUE)</f>
        <v>#VALUE!</v>
      </c>
      <c r="N430" s="1" t="e">
        <v>#VALUE!</v>
      </c>
      <c r="O430" s="1" t="e">
        <v>#VALUE!</v>
      </c>
      <c r="P430" s="1" t="e">
        <v>#VALUE!</v>
      </c>
      <c r="S430" s="1">
        <f t="shared" si="423"/>
        <v>8</v>
      </c>
      <c r="T430" s="1">
        <v>223</v>
      </c>
    </row>
    <row r="431" spans="1:20" x14ac:dyDescent="0.3">
      <c r="A431" s="1">
        <f t="shared" si="474"/>
        <v>8224</v>
      </c>
      <c r="B431" s="24"/>
      <c r="C431" s="24"/>
      <c r="D431" s="24"/>
      <c r="E431" s="24"/>
      <c r="F431" s="24"/>
      <c r="G431" s="25"/>
      <c r="H431" s="25"/>
      <c r="J431" s="1" t="str">
        <f t="shared" ref="J431" si="521">CONCATENATE(J429,"2")</f>
        <v>92</v>
      </c>
      <c r="M431" s="1" t="e">
        <v>#VALUE!</v>
      </c>
      <c r="N431" s="1" t="e">
        <v>#VALUE!</v>
      </c>
      <c r="O431" s="1" t="e">
        <v>#VALUE!</v>
      </c>
      <c r="P431" s="1" t="e">
        <v>#VALUE!</v>
      </c>
      <c r="S431" s="1">
        <f t="shared" si="423"/>
        <v>8</v>
      </c>
      <c r="T431" s="1">
        <v>224</v>
      </c>
    </row>
    <row r="432" spans="1:20" x14ac:dyDescent="0.3">
      <c r="A432" s="1">
        <f t="shared" si="474"/>
        <v>8225</v>
      </c>
      <c r="B432" s="24"/>
      <c r="C432" s="24"/>
      <c r="D432" s="24"/>
      <c r="E432" s="24"/>
      <c r="F432" s="24"/>
      <c r="G432" s="25"/>
      <c r="H432" s="25"/>
      <c r="J432" s="1" t="str">
        <f t="shared" ref="J432" si="522">CONCATENATE(J429,"3")</f>
        <v>93</v>
      </c>
      <c r="M432" s="1" t="e">
        <v>#VALUE!</v>
      </c>
      <c r="N432" s="1" t="e">
        <v>#VALUE!</v>
      </c>
      <c r="O432" s="1" t="e">
        <v>#VALUE!</v>
      </c>
      <c r="P432" s="1" t="e">
        <v>#VALUE!</v>
      </c>
      <c r="S432" s="1">
        <f t="shared" si="423"/>
        <v>8</v>
      </c>
      <c r="T432" s="1">
        <v>225</v>
      </c>
    </row>
    <row r="433" spans="1:20" x14ac:dyDescent="0.3">
      <c r="A433" s="1">
        <f t="shared" si="474"/>
        <v>8226</v>
      </c>
      <c r="B433" s="24"/>
      <c r="C433" s="24"/>
      <c r="D433" s="24"/>
      <c r="E433" s="24"/>
      <c r="F433" s="24"/>
      <c r="G433" s="25"/>
      <c r="H433" s="25"/>
      <c r="J433" s="1">
        <f t="shared" ref="J433" si="523">J429-1</f>
        <v>8</v>
      </c>
      <c r="M433" s="1" t="s">
        <v>2</v>
      </c>
      <c r="N433" s="1" t="s">
        <v>3</v>
      </c>
      <c r="O433" s="1" t="s">
        <v>4</v>
      </c>
      <c r="P433" s="1" t="s">
        <v>5</v>
      </c>
      <c r="S433" s="1">
        <f t="shared" ref="S433:S496" si="524">S432</f>
        <v>8</v>
      </c>
      <c r="T433" s="1">
        <v>226</v>
      </c>
    </row>
    <row r="434" spans="1:20" x14ac:dyDescent="0.3">
      <c r="A434" s="1">
        <f t="shared" si="474"/>
        <v>8227</v>
      </c>
      <c r="B434" s="24"/>
      <c r="C434" s="24"/>
      <c r="D434" s="24"/>
      <c r="E434" s="24"/>
      <c r="F434" s="24"/>
      <c r="G434" s="25"/>
      <c r="H434" s="25"/>
      <c r="J434" s="1" t="str">
        <f t="shared" ref="J434" si="525">CONCATENATE(J433,"1")</f>
        <v>81</v>
      </c>
      <c r="M434" s="1" t="e">
        <f t="array" ref="M434:P436">LINEST($B424:$B433,$C424:$C433^{1,2,3},TRUE,TRUE)</f>
        <v>#VALUE!</v>
      </c>
      <c r="N434" s="1" t="e">
        <v>#VALUE!</v>
      </c>
      <c r="O434" s="1" t="e">
        <v>#VALUE!</v>
      </c>
      <c r="P434" s="1" t="e">
        <v>#VALUE!</v>
      </c>
      <c r="S434" s="1">
        <f t="shared" si="524"/>
        <v>8</v>
      </c>
      <c r="T434" s="1">
        <v>227</v>
      </c>
    </row>
    <row r="435" spans="1:20" x14ac:dyDescent="0.3">
      <c r="A435" s="1">
        <f t="shared" si="474"/>
        <v>8228</v>
      </c>
      <c r="B435" s="24"/>
      <c r="C435" s="24"/>
      <c r="D435" s="24"/>
      <c r="E435" s="24"/>
      <c r="F435" s="24"/>
      <c r="G435" s="25"/>
      <c r="H435" s="25"/>
      <c r="J435" s="1" t="str">
        <f t="shared" ref="J435" si="526">CONCATENATE(J433,"2")</f>
        <v>82</v>
      </c>
      <c r="M435" s="1" t="e">
        <v>#VALUE!</v>
      </c>
      <c r="N435" s="1" t="e">
        <v>#VALUE!</v>
      </c>
      <c r="O435" s="1" t="e">
        <v>#VALUE!</v>
      </c>
      <c r="P435" s="1" t="e">
        <v>#VALUE!</v>
      </c>
      <c r="S435" s="1">
        <f t="shared" si="524"/>
        <v>8</v>
      </c>
      <c r="T435" s="1">
        <v>228</v>
      </c>
    </row>
    <row r="436" spans="1:20" x14ac:dyDescent="0.3">
      <c r="A436" s="1">
        <f t="shared" si="474"/>
        <v>8229</v>
      </c>
      <c r="B436" s="24"/>
      <c r="C436" s="24"/>
      <c r="D436" s="24"/>
      <c r="E436" s="24"/>
      <c r="F436" s="24"/>
      <c r="G436" s="25"/>
      <c r="H436" s="25"/>
      <c r="J436" s="1" t="str">
        <f t="shared" ref="J436" si="527">CONCATENATE(J433,"3")</f>
        <v>83</v>
      </c>
      <c r="M436" s="1" t="e">
        <v>#VALUE!</v>
      </c>
      <c r="N436" s="1" t="e">
        <v>#VALUE!</v>
      </c>
      <c r="O436" s="1" t="e">
        <v>#VALUE!</v>
      </c>
      <c r="P436" s="1" t="e">
        <v>#VALUE!</v>
      </c>
      <c r="S436" s="1">
        <f t="shared" si="524"/>
        <v>8</v>
      </c>
      <c r="T436" s="1">
        <v>229</v>
      </c>
    </row>
    <row r="437" spans="1:20" x14ac:dyDescent="0.3">
      <c r="A437" s="1">
        <f t="shared" si="474"/>
        <v>8230</v>
      </c>
      <c r="B437" s="24"/>
      <c r="C437" s="24"/>
      <c r="D437" s="24"/>
      <c r="E437" s="24"/>
      <c r="F437" s="24"/>
      <c r="G437" s="25"/>
      <c r="H437" s="25"/>
      <c r="J437" s="1">
        <f t="shared" ref="J437" si="528">J433-1</f>
        <v>7</v>
      </c>
      <c r="M437" s="1" t="s">
        <v>2</v>
      </c>
      <c r="N437" s="1" t="s">
        <v>3</v>
      </c>
      <c r="O437" s="1" t="s">
        <v>4</v>
      </c>
      <c r="P437" s="1" t="s">
        <v>5</v>
      </c>
      <c r="S437" s="1">
        <f t="shared" si="524"/>
        <v>8</v>
      </c>
      <c r="T437" s="1">
        <v>230</v>
      </c>
    </row>
    <row r="438" spans="1:20" x14ac:dyDescent="0.3">
      <c r="A438" s="1">
        <f t="shared" si="474"/>
        <v>8231</v>
      </c>
      <c r="B438" s="24"/>
      <c r="C438" s="24"/>
      <c r="D438" s="24"/>
      <c r="E438" s="24"/>
      <c r="F438" s="24"/>
      <c r="G438" s="25"/>
      <c r="H438" s="25"/>
      <c r="J438" s="1" t="str">
        <f t="shared" ref="J438" si="529">CONCATENATE(J437,"1")</f>
        <v>71</v>
      </c>
      <c r="M438" s="1" t="e">
        <f t="array" ref="M438:P440">LINEST($B424:$B432,$C424:$C432^{1,2,3},TRUE,TRUE)</f>
        <v>#VALUE!</v>
      </c>
      <c r="N438" s="1" t="e">
        <v>#VALUE!</v>
      </c>
      <c r="O438" s="1" t="e">
        <v>#VALUE!</v>
      </c>
      <c r="P438" s="1" t="e">
        <v>#VALUE!</v>
      </c>
      <c r="S438" s="1">
        <f t="shared" si="524"/>
        <v>8</v>
      </c>
      <c r="T438" s="1">
        <v>231</v>
      </c>
    </row>
    <row r="439" spans="1:20" x14ac:dyDescent="0.3">
      <c r="A439" s="1">
        <f t="shared" si="474"/>
        <v>8232</v>
      </c>
      <c r="B439" s="2">
        <f t="shared" ref="B439" si="530">COUNT(B424:B438)-2</f>
        <v>1</v>
      </c>
      <c r="J439" s="1" t="str">
        <f t="shared" ref="J439" si="531">CONCATENATE(J437,"2")</f>
        <v>72</v>
      </c>
      <c r="M439" s="1" t="e">
        <v>#VALUE!</v>
      </c>
      <c r="N439" s="1" t="e">
        <v>#VALUE!</v>
      </c>
      <c r="O439" s="1" t="e">
        <v>#VALUE!</v>
      </c>
      <c r="P439" s="1" t="e">
        <v>#VALUE!</v>
      </c>
      <c r="S439" s="1">
        <f t="shared" si="524"/>
        <v>8</v>
      </c>
      <c r="T439" s="1">
        <v>232</v>
      </c>
    </row>
    <row r="440" spans="1:20" x14ac:dyDescent="0.3">
      <c r="A440" s="1">
        <f t="shared" si="474"/>
        <v>8233</v>
      </c>
      <c r="J440" s="1" t="str">
        <f t="shared" ref="J440" si="532">CONCATENATE(J437,"3")</f>
        <v>73</v>
      </c>
      <c r="M440" s="1" t="e">
        <v>#VALUE!</v>
      </c>
      <c r="N440" s="1" t="e">
        <v>#VALUE!</v>
      </c>
      <c r="O440" s="1" t="e">
        <v>#VALUE!</v>
      </c>
      <c r="P440" s="1" t="e">
        <v>#VALUE!</v>
      </c>
      <c r="S440" s="1">
        <f t="shared" si="524"/>
        <v>8</v>
      </c>
      <c r="T440" s="1">
        <v>233</v>
      </c>
    </row>
    <row r="441" spans="1:20" x14ac:dyDescent="0.3">
      <c r="A441" s="1">
        <f t="shared" si="474"/>
        <v>8234</v>
      </c>
      <c r="B441" s="54" t="s">
        <v>25</v>
      </c>
      <c r="C441" s="54"/>
      <c r="D441" s="54"/>
      <c r="E441" s="54"/>
      <c r="F441" s="54"/>
      <c r="G441" s="54"/>
      <c r="H441" s="54"/>
      <c r="J441" s="1">
        <f t="shared" ref="J441" si="533">J437-1</f>
        <v>6</v>
      </c>
      <c r="M441" s="1" t="s">
        <v>2</v>
      </c>
      <c r="N441" s="1" t="s">
        <v>3</v>
      </c>
      <c r="O441" s="1" t="s">
        <v>4</v>
      </c>
      <c r="P441" s="1" t="s">
        <v>5</v>
      </c>
      <c r="S441" s="1">
        <f t="shared" si="524"/>
        <v>8</v>
      </c>
      <c r="T441" s="1">
        <v>234</v>
      </c>
    </row>
    <row r="442" spans="1:20" x14ac:dyDescent="0.3">
      <c r="A442" s="1">
        <f t="shared" si="474"/>
        <v>8235</v>
      </c>
      <c r="B442" s="56"/>
      <c r="C442" s="56"/>
      <c r="D442" s="56"/>
      <c r="E442" s="56"/>
      <c r="F442" s="56"/>
      <c r="G442" s="56"/>
      <c r="H442" s="56"/>
      <c r="J442" s="1" t="str">
        <f t="shared" ref="J442" si="534">CONCATENATE(J441,"1")</f>
        <v>61</v>
      </c>
      <c r="M442" s="1" t="e">
        <f t="array" ref="M442:P444">LINEST($B424:$B431,$C424:$C431^{1,2,3},TRUE,TRUE)</f>
        <v>#VALUE!</v>
      </c>
      <c r="N442" s="1" t="e">
        <v>#VALUE!</v>
      </c>
      <c r="O442" s="1" t="e">
        <v>#VALUE!</v>
      </c>
      <c r="P442" s="1" t="e">
        <v>#VALUE!</v>
      </c>
      <c r="S442" s="1">
        <f t="shared" si="524"/>
        <v>8</v>
      </c>
      <c r="T442" s="1">
        <v>235</v>
      </c>
    </row>
    <row r="443" spans="1:20" x14ac:dyDescent="0.3">
      <c r="A443" s="1">
        <f t="shared" si="474"/>
        <v>8236</v>
      </c>
      <c r="B443" s="56"/>
      <c r="C443" s="56"/>
      <c r="D443" s="56"/>
      <c r="E443" s="56"/>
      <c r="F443" s="56"/>
      <c r="G443" s="56"/>
      <c r="H443" s="56"/>
      <c r="J443" s="1" t="str">
        <f t="shared" ref="J443" si="535">CONCATENATE(J441,"2")</f>
        <v>62</v>
      </c>
      <c r="M443" s="1" t="e">
        <v>#VALUE!</v>
      </c>
      <c r="N443" s="1" t="e">
        <v>#VALUE!</v>
      </c>
      <c r="O443" s="1" t="e">
        <v>#VALUE!</v>
      </c>
      <c r="P443" s="1" t="e">
        <v>#VALUE!</v>
      </c>
      <c r="S443" s="1">
        <f t="shared" si="524"/>
        <v>8</v>
      </c>
      <c r="T443" s="1">
        <v>236</v>
      </c>
    </row>
    <row r="444" spans="1:20" x14ac:dyDescent="0.3">
      <c r="A444" s="1">
        <f t="shared" si="474"/>
        <v>8237</v>
      </c>
      <c r="J444" s="1" t="str">
        <f t="shared" ref="J444" si="536">CONCATENATE(J441,"3")</f>
        <v>63</v>
      </c>
      <c r="M444" s="1" t="e">
        <v>#VALUE!</v>
      </c>
      <c r="N444" s="1" t="e">
        <v>#VALUE!</v>
      </c>
      <c r="O444" s="1" t="e">
        <v>#VALUE!</v>
      </c>
      <c r="P444" s="1" t="e">
        <v>#VALUE!</v>
      </c>
      <c r="S444" s="1">
        <f t="shared" si="524"/>
        <v>8</v>
      </c>
      <c r="T444" s="1">
        <v>237</v>
      </c>
    </row>
    <row r="445" spans="1:20" ht="15" customHeight="1" x14ac:dyDescent="0.3">
      <c r="A445" s="1">
        <f t="shared" si="474"/>
        <v>8238</v>
      </c>
      <c r="J445" s="1">
        <f t="shared" ref="J445" si="537">J441-1</f>
        <v>5</v>
      </c>
      <c r="M445" s="1" t="s">
        <v>2</v>
      </c>
      <c r="N445" s="1" t="s">
        <v>3</v>
      </c>
      <c r="O445" s="1" t="s">
        <v>4</v>
      </c>
      <c r="P445" s="1" t="s">
        <v>5</v>
      </c>
      <c r="S445" s="1">
        <f t="shared" si="524"/>
        <v>8</v>
      </c>
      <c r="T445" s="1">
        <v>238</v>
      </c>
    </row>
    <row r="446" spans="1:20" x14ac:dyDescent="0.3">
      <c r="A446" s="1">
        <f t="shared" si="474"/>
        <v>8239</v>
      </c>
      <c r="J446" s="1" t="str">
        <f t="shared" ref="J446" si="538">CONCATENATE(J445,"1")</f>
        <v>51</v>
      </c>
      <c r="M446" s="1" t="e">
        <f t="array" ref="M446:P448">LINEST($B424:$B430,$C424:$C430^{1,2,3},TRUE,TRUE)</f>
        <v>#VALUE!</v>
      </c>
      <c r="N446" s="1" t="e">
        <v>#VALUE!</v>
      </c>
      <c r="O446" s="1" t="e">
        <v>#VALUE!</v>
      </c>
      <c r="P446" s="1" t="e">
        <v>#VALUE!</v>
      </c>
      <c r="S446" s="1">
        <f t="shared" si="524"/>
        <v>8</v>
      </c>
      <c r="T446" s="1">
        <v>239</v>
      </c>
    </row>
    <row r="447" spans="1:20" x14ac:dyDescent="0.3">
      <c r="A447" s="1">
        <f t="shared" si="474"/>
        <v>8240</v>
      </c>
      <c r="E447" s="26"/>
      <c r="F447" s="26"/>
      <c r="G447" s="26"/>
      <c r="H447" s="26"/>
      <c r="J447" s="1" t="str">
        <f t="shared" ref="J447" si="539">CONCATENATE(J445,"2")</f>
        <v>52</v>
      </c>
      <c r="M447" s="1" t="e">
        <v>#VALUE!</v>
      </c>
      <c r="N447" s="1" t="e">
        <v>#VALUE!</v>
      </c>
      <c r="O447" s="1" t="e">
        <v>#VALUE!</v>
      </c>
      <c r="P447" s="1" t="e">
        <v>#VALUE!</v>
      </c>
      <c r="S447" s="1">
        <f t="shared" si="524"/>
        <v>8</v>
      </c>
      <c r="T447" s="1">
        <v>240</v>
      </c>
    </row>
    <row r="448" spans="1:20" x14ac:dyDescent="0.3">
      <c r="A448" s="1">
        <f t="shared" si="474"/>
        <v>8241</v>
      </c>
      <c r="B448" s="54" t="s">
        <v>90</v>
      </c>
      <c r="C448" s="54"/>
      <c r="D448" s="54"/>
      <c r="E448" s="27">
        <f t="shared" ref="E448" si="540">IF(D410="","",MAX(E449,E450))</f>
        <v>0</v>
      </c>
      <c r="F448" s="26"/>
      <c r="G448" s="26"/>
      <c r="H448" s="26"/>
      <c r="J448" s="1" t="str">
        <f t="shared" ref="J448" si="541">CONCATENATE(J445,"3")</f>
        <v>53</v>
      </c>
      <c r="M448" s="1" t="e">
        <v>#VALUE!</v>
      </c>
      <c r="N448" s="1" t="e">
        <v>#VALUE!</v>
      </c>
      <c r="O448" s="1" t="e">
        <v>#VALUE!</v>
      </c>
      <c r="P448" s="1" t="e">
        <v>#VALUE!</v>
      </c>
      <c r="S448" s="1">
        <f t="shared" si="524"/>
        <v>8</v>
      </c>
      <c r="T448" s="1">
        <v>241</v>
      </c>
    </row>
    <row r="449" spans="1:20" x14ac:dyDescent="0.3">
      <c r="A449" s="1">
        <f t="shared" si="474"/>
        <v>8242</v>
      </c>
      <c r="B449" s="2" t="s">
        <v>26</v>
      </c>
      <c r="C449" s="2" t="s">
        <v>27</v>
      </c>
      <c r="D449" s="2" t="s">
        <v>28</v>
      </c>
      <c r="E449" s="28">
        <f t="shared" ref="E449" si="542">ABS(MIN(D450:D464))</f>
        <v>0</v>
      </c>
      <c r="F449" s="26"/>
      <c r="H449" s="26"/>
      <c r="J449" s="1">
        <f t="shared" ref="J449" si="543">J445-1</f>
        <v>4</v>
      </c>
      <c r="M449" s="1" t="s">
        <v>2</v>
      </c>
      <c r="N449" s="1" t="s">
        <v>3</v>
      </c>
      <c r="O449" s="1" t="s">
        <v>4</v>
      </c>
      <c r="P449" s="1" t="s">
        <v>5</v>
      </c>
      <c r="S449" s="1">
        <f t="shared" si="524"/>
        <v>8</v>
      </c>
      <c r="T449" s="1">
        <v>242</v>
      </c>
    </row>
    <row r="450" spans="1:20" x14ac:dyDescent="0.3">
      <c r="A450" s="1">
        <f t="shared" si="474"/>
        <v>8243</v>
      </c>
      <c r="B450" s="2">
        <f t="shared" ref="B450:B464" si="544">C424-B424</f>
        <v>0</v>
      </c>
      <c r="C450" s="2">
        <f t="shared" ref="C450:C464" si="545">H424-G424</f>
        <v>0</v>
      </c>
      <c r="D450" s="2">
        <f t="shared" ref="D450:D464" si="546">C450-B450</f>
        <v>0</v>
      </c>
      <c r="E450" s="28">
        <f t="shared" ref="E450" si="547">ABS(MAX(D450:D464))</f>
        <v>0</v>
      </c>
      <c r="F450" s="26"/>
      <c r="H450" s="26"/>
      <c r="J450" s="1" t="str">
        <f t="shared" ref="J450" si="548">CONCATENATE(J449,"1")</f>
        <v>41</v>
      </c>
      <c r="M450" s="1" t="e">
        <f t="array" ref="M450:P452">LINEST($B424:$B429,$C424:$C429^{1,2,3},TRUE,TRUE)</f>
        <v>#VALUE!</v>
      </c>
      <c r="N450" s="1" t="e">
        <v>#VALUE!</v>
      </c>
      <c r="O450" s="1" t="e">
        <v>#VALUE!</v>
      </c>
      <c r="P450" s="1" t="e">
        <v>#VALUE!</v>
      </c>
      <c r="S450" s="1">
        <f t="shared" si="524"/>
        <v>8</v>
      </c>
      <c r="T450" s="1">
        <v>243</v>
      </c>
    </row>
    <row r="451" spans="1:20" x14ac:dyDescent="0.3">
      <c r="A451" s="1">
        <f t="shared" si="474"/>
        <v>8244</v>
      </c>
      <c r="B451" s="2">
        <f t="shared" si="544"/>
        <v>0</v>
      </c>
      <c r="C451" s="2">
        <f t="shared" si="545"/>
        <v>0</v>
      </c>
      <c r="D451" s="2">
        <f t="shared" si="546"/>
        <v>0</v>
      </c>
      <c r="E451" s="29" t="s">
        <v>32</v>
      </c>
      <c r="F451" s="26"/>
      <c r="H451" s="26"/>
      <c r="J451" s="1" t="str">
        <f t="shared" ref="J451" si="549">CONCATENATE(J449,"2")</f>
        <v>42</v>
      </c>
      <c r="M451" s="1" t="e">
        <v>#VALUE!</v>
      </c>
      <c r="N451" s="1" t="e">
        <v>#VALUE!</v>
      </c>
      <c r="O451" s="1" t="e">
        <v>#VALUE!</v>
      </c>
      <c r="P451" s="1" t="e">
        <v>#VALUE!</v>
      </c>
      <c r="S451" s="1">
        <f t="shared" si="524"/>
        <v>8</v>
      </c>
      <c r="T451" s="1">
        <v>244</v>
      </c>
    </row>
    <row r="452" spans="1:20" x14ac:dyDescent="0.3">
      <c r="A452" s="1">
        <f t="shared" si="474"/>
        <v>8245</v>
      </c>
      <c r="B452" s="2">
        <f t="shared" si="544"/>
        <v>0</v>
      </c>
      <c r="C452" s="2">
        <f t="shared" si="545"/>
        <v>0</v>
      </c>
      <c r="D452" s="2">
        <f t="shared" si="546"/>
        <v>0</v>
      </c>
      <c r="E452" s="27">
        <f t="shared" ref="E452" si="550">IF(D410="","",MAX(E453,E454))</f>
        <v>0</v>
      </c>
      <c r="F452" s="26"/>
      <c r="H452" s="26"/>
      <c r="J452" s="1" t="str">
        <f t="shared" ref="J452" si="551">CONCATENATE(J449,"3")</f>
        <v>43</v>
      </c>
      <c r="M452" s="1" t="e">
        <v>#VALUE!</v>
      </c>
      <c r="N452" s="1" t="e">
        <v>#VALUE!</v>
      </c>
      <c r="O452" s="1" t="e">
        <v>#VALUE!</v>
      </c>
      <c r="P452" s="1" t="e">
        <v>#VALUE!</v>
      </c>
      <c r="S452" s="1">
        <f t="shared" si="524"/>
        <v>8</v>
      </c>
      <c r="T452" s="1">
        <v>245</v>
      </c>
    </row>
    <row r="453" spans="1:20" x14ac:dyDescent="0.3">
      <c r="A453" s="1">
        <f t="shared" si="474"/>
        <v>8246</v>
      </c>
      <c r="B453" s="2">
        <f t="shared" si="544"/>
        <v>0</v>
      </c>
      <c r="C453" s="2">
        <f t="shared" si="545"/>
        <v>0</v>
      </c>
      <c r="D453" s="2">
        <f t="shared" si="546"/>
        <v>0</v>
      </c>
      <c r="E453" s="28">
        <f t="shared" ref="E453" si="552">ABS(MIN(B450:B464))</f>
        <v>0</v>
      </c>
      <c r="F453" s="26"/>
      <c r="H453" s="26"/>
      <c r="J453" s="1">
        <f t="shared" ref="J453" si="553">J449-1</f>
        <v>3</v>
      </c>
      <c r="M453" s="1" t="s">
        <v>2</v>
      </c>
      <c r="N453" s="1" t="s">
        <v>3</v>
      </c>
      <c r="O453" s="1" t="s">
        <v>4</v>
      </c>
      <c r="P453" s="1" t="s">
        <v>5</v>
      </c>
      <c r="S453" s="1">
        <f t="shared" si="524"/>
        <v>8</v>
      </c>
      <c r="T453" s="1">
        <v>246</v>
      </c>
    </row>
    <row r="454" spans="1:20" x14ac:dyDescent="0.3">
      <c r="A454" s="1">
        <f t="shared" si="474"/>
        <v>8247</v>
      </c>
      <c r="B454" s="2">
        <f t="shared" si="544"/>
        <v>0</v>
      </c>
      <c r="C454" s="2">
        <f t="shared" si="545"/>
        <v>0</v>
      </c>
      <c r="D454" s="2">
        <f t="shared" si="546"/>
        <v>0</v>
      </c>
      <c r="E454" s="28">
        <f t="shared" ref="E454" si="554">ABS(MAX(B450:B464))</f>
        <v>0</v>
      </c>
      <c r="F454" s="26"/>
      <c r="H454" s="26"/>
      <c r="J454" s="1" t="str">
        <f t="shared" ref="J454" si="555">CONCATENATE(J453,"1")</f>
        <v>31</v>
      </c>
      <c r="M454" s="1" t="e">
        <f t="array" ref="M454:P456">LINEST($B424:$B428,$C424:$C428^{1,2,3},TRUE,TRUE)</f>
        <v>#VALUE!</v>
      </c>
      <c r="N454" s="1" t="e">
        <v>#VALUE!</v>
      </c>
      <c r="O454" s="1" t="e">
        <v>#VALUE!</v>
      </c>
      <c r="P454" s="1" t="e">
        <v>#VALUE!</v>
      </c>
      <c r="S454" s="1">
        <f t="shared" si="524"/>
        <v>8</v>
      </c>
      <c r="T454" s="1">
        <v>247</v>
      </c>
    </row>
    <row r="455" spans="1:20" x14ac:dyDescent="0.3">
      <c r="A455" s="1">
        <f t="shared" si="474"/>
        <v>8248</v>
      </c>
      <c r="B455" s="2">
        <f t="shared" si="544"/>
        <v>0</v>
      </c>
      <c r="C455" s="2">
        <f t="shared" si="545"/>
        <v>0</v>
      </c>
      <c r="D455" s="2">
        <f t="shared" si="546"/>
        <v>0</v>
      </c>
      <c r="E455" s="29" t="s">
        <v>33</v>
      </c>
      <c r="F455" s="26"/>
      <c r="J455" s="1" t="str">
        <f t="shared" ref="J455" si="556">CONCATENATE(J453,"2")</f>
        <v>32</v>
      </c>
      <c r="M455" s="1" t="e">
        <v>#VALUE!</v>
      </c>
      <c r="N455" s="1" t="e">
        <v>#VALUE!</v>
      </c>
      <c r="O455" s="1" t="e">
        <v>#VALUE!</v>
      </c>
      <c r="P455" s="1" t="e">
        <v>#VALUE!</v>
      </c>
      <c r="S455" s="1">
        <f t="shared" si="524"/>
        <v>8</v>
      </c>
      <c r="T455" s="1">
        <v>248</v>
      </c>
    </row>
    <row r="456" spans="1:20" x14ac:dyDescent="0.3">
      <c r="A456" s="1">
        <f t="shared" si="474"/>
        <v>8249</v>
      </c>
      <c r="B456" s="2">
        <f t="shared" si="544"/>
        <v>0</v>
      </c>
      <c r="C456" s="2">
        <f t="shared" si="545"/>
        <v>0</v>
      </c>
      <c r="D456" s="2">
        <f t="shared" si="546"/>
        <v>0</v>
      </c>
      <c r="E456" s="27">
        <f t="shared" ref="E456" si="557">IF(D410="","",MAX(E457,E458))</f>
        <v>0.2</v>
      </c>
      <c r="F456" s="26"/>
      <c r="J456" s="1" t="str">
        <f t="shared" ref="J456" si="558">CONCATENATE(J453,"3")</f>
        <v>33</v>
      </c>
      <c r="M456" s="1" t="e">
        <v>#VALUE!</v>
      </c>
      <c r="N456" s="1" t="e">
        <v>#VALUE!</v>
      </c>
      <c r="O456" s="1" t="e">
        <v>#VALUE!</v>
      </c>
      <c r="P456" s="1" t="e">
        <v>#VALUE!</v>
      </c>
      <c r="S456" s="1">
        <f t="shared" si="524"/>
        <v>8</v>
      </c>
      <c r="T456" s="1">
        <v>249</v>
      </c>
    </row>
    <row r="457" spans="1:20" x14ac:dyDescent="0.3">
      <c r="A457" s="1">
        <f t="shared" si="474"/>
        <v>8250</v>
      </c>
      <c r="B457" s="2">
        <f t="shared" si="544"/>
        <v>0</v>
      </c>
      <c r="C457" s="2">
        <f t="shared" si="545"/>
        <v>0</v>
      </c>
      <c r="D457" s="2">
        <f t="shared" si="546"/>
        <v>0</v>
      </c>
      <c r="E457" s="28">
        <f t="shared" ref="E457" si="559">ABS(MIN(D424:D438))</f>
        <v>0.2</v>
      </c>
      <c r="F457" s="26"/>
      <c r="J457" s="1">
        <f t="shared" ref="J457" si="560">J453-1</f>
        <v>2</v>
      </c>
      <c r="N457" s="1" t="s">
        <v>3</v>
      </c>
      <c r="O457" s="1" t="s">
        <v>4</v>
      </c>
      <c r="P457" s="1" t="s">
        <v>5</v>
      </c>
      <c r="S457" s="1">
        <f t="shared" si="524"/>
        <v>8</v>
      </c>
      <c r="T457" s="1">
        <v>250</v>
      </c>
    </row>
    <row r="458" spans="1:20" x14ac:dyDescent="0.3">
      <c r="A458" s="1">
        <f t="shared" si="474"/>
        <v>8251</v>
      </c>
      <c r="B458" s="2">
        <f t="shared" si="544"/>
        <v>0</v>
      </c>
      <c r="C458" s="2">
        <f t="shared" si="545"/>
        <v>0</v>
      </c>
      <c r="D458" s="2">
        <f t="shared" si="546"/>
        <v>0</v>
      </c>
      <c r="E458" s="28">
        <f t="shared" ref="E458" si="561">ABS(MAX(D424:D438))</f>
        <v>0.2</v>
      </c>
      <c r="F458" s="26"/>
      <c r="J458" s="1" t="str">
        <f t="shared" ref="J458" si="562">CONCATENATE(J457,"1")</f>
        <v>21</v>
      </c>
      <c r="N458" s="1" t="e">
        <f t="array" ref="N458:P460">LINEST($B424:$B427,$C424:$C427^{1,2},TRUE,TRUE)</f>
        <v>#VALUE!</v>
      </c>
      <c r="O458" s="1" t="e">
        <v>#VALUE!</v>
      </c>
      <c r="P458" s="1" t="e">
        <v>#VALUE!</v>
      </c>
      <c r="S458" s="1">
        <f t="shared" si="524"/>
        <v>8</v>
      </c>
      <c r="T458" s="1">
        <v>251</v>
      </c>
    </row>
    <row r="459" spans="1:20" x14ac:dyDescent="0.3">
      <c r="A459" s="1">
        <f t="shared" si="474"/>
        <v>8252</v>
      </c>
      <c r="B459" s="2">
        <f t="shared" si="544"/>
        <v>0</v>
      </c>
      <c r="C459" s="2">
        <f t="shared" si="545"/>
        <v>0</v>
      </c>
      <c r="D459" s="2">
        <f t="shared" si="546"/>
        <v>0</v>
      </c>
      <c r="E459" s="26"/>
      <c r="F459" s="26"/>
      <c r="J459" s="1" t="str">
        <f t="shared" ref="J459" si="563">CONCATENATE(J457,"2")</f>
        <v>22</v>
      </c>
      <c r="N459" s="1" t="e">
        <v>#VALUE!</v>
      </c>
      <c r="O459" s="1" t="e">
        <v>#VALUE!</v>
      </c>
      <c r="P459" s="1" t="e">
        <v>#VALUE!</v>
      </c>
      <c r="S459" s="1">
        <f t="shared" si="524"/>
        <v>8</v>
      </c>
      <c r="T459" s="1">
        <v>252</v>
      </c>
    </row>
    <row r="460" spans="1:20" x14ac:dyDescent="0.3">
      <c r="A460" s="1">
        <f t="shared" si="474"/>
        <v>8253</v>
      </c>
      <c r="B460" s="2">
        <f t="shared" si="544"/>
        <v>0</v>
      </c>
      <c r="C460" s="2">
        <f t="shared" si="545"/>
        <v>0</v>
      </c>
      <c r="D460" s="2">
        <f t="shared" si="546"/>
        <v>0</v>
      </c>
      <c r="E460" s="26"/>
      <c r="F460" s="26"/>
      <c r="J460" s="1" t="str">
        <f t="shared" ref="J460" si="564">CONCATENATE(J457,"3")</f>
        <v>23</v>
      </c>
      <c r="N460" s="1" t="e">
        <v>#VALUE!</v>
      </c>
      <c r="O460" s="1" t="e">
        <v>#VALUE!</v>
      </c>
      <c r="P460" s="1" t="e">
        <v>#VALUE!</v>
      </c>
      <c r="S460" s="1">
        <f t="shared" si="524"/>
        <v>8</v>
      </c>
      <c r="T460" s="1">
        <v>253</v>
      </c>
    </row>
    <row r="461" spans="1:20" x14ac:dyDescent="0.3">
      <c r="A461" s="1">
        <f t="shared" si="474"/>
        <v>8254</v>
      </c>
      <c r="B461" s="2">
        <f t="shared" si="544"/>
        <v>0</v>
      </c>
      <c r="C461" s="2">
        <f t="shared" si="545"/>
        <v>0</v>
      </c>
      <c r="D461" s="2">
        <f t="shared" si="546"/>
        <v>0</v>
      </c>
      <c r="E461" s="26"/>
      <c r="F461" s="26"/>
      <c r="J461" s="1">
        <f t="shared" ref="J461" si="565">J457-1</f>
        <v>1</v>
      </c>
      <c r="O461" s="1" t="s">
        <v>4</v>
      </c>
      <c r="P461" s="1" t="s">
        <v>5</v>
      </c>
      <c r="S461" s="1">
        <f t="shared" si="524"/>
        <v>8</v>
      </c>
      <c r="T461" s="1">
        <v>254</v>
      </c>
    </row>
    <row r="462" spans="1:20" x14ac:dyDescent="0.3">
      <c r="A462" s="1">
        <f t="shared" si="474"/>
        <v>8255</v>
      </c>
      <c r="B462" s="2">
        <f t="shared" si="544"/>
        <v>0</v>
      </c>
      <c r="C462" s="2">
        <f t="shared" si="545"/>
        <v>0</v>
      </c>
      <c r="D462" s="2">
        <f t="shared" si="546"/>
        <v>0</v>
      </c>
      <c r="E462" s="26"/>
      <c r="F462" s="26"/>
      <c r="J462" s="1" t="str">
        <f t="shared" ref="J462" si="566">CONCATENATE(J461,"1")</f>
        <v>11</v>
      </c>
      <c r="O462" s="1">
        <f t="array" ref="O462:P464">LINEST($B424:$B426,$C424:$C426^{1},TRUE,TRUE)</f>
        <v>1.0000000000000002</v>
      </c>
      <c r="P462" s="1">
        <v>-2.2737367544323206E-13</v>
      </c>
      <c r="S462" s="1">
        <f t="shared" si="524"/>
        <v>8</v>
      </c>
      <c r="T462" s="1">
        <v>255</v>
      </c>
    </row>
    <row r="463" spans="1:20" x14ac:dyDescent="0.3">
      <c r="A463" s="1">
        <f t="shared" si="474"/>
        <v>8256</v>
      </c>
      <c r="B463" s="2">
        <f t="shared" si="544"/>
        <v>0</v>
      </c>
      <c r="C463" s="2">
        <f t="shared" si="545"/>
        <v>0</v>
      </c>
      <c r="D463" s="2">
        <f t="shared" si="546"/>
        <v>0</v>
      </c>
      <c r="E463" s="26"/>
      <c r="F463" s="26"/>
      <c r="J463" s="1" t="str">
        <f t="shared" ref="J463" si="567">CONCATENATE(J461,"2")</f>
        <v>12</v>
      </c>
      <c r="O463" s="1">
        <v>0</v>
      </c>
      <c r="P463" s="1">
        <v>0</v>
      </c>
      <c r="S463" s="1">
        <f t="shared" si="524"/>
        <v>8</v>
      </c>
      <c r="T463" s="1">
        <v>256</v>
      </c>
    </row>
    <row r="464" spans="1:20" x14ac:dyDescent="0.3">
      <c r="A464" s="1">
        <f t="shared" si="474"/>
        <v>8257</v>
      </c>
      <c r="B464" s="2">
        <f t="shared" si="544"/>
        <v>0</v>
      </c>
      <c r="C464" s="2">
        <f t="shared" si="545"/>
        <v>0</v>
      </c>
      <c r="D464" s="2">
        <f t="shared" si="546"/>
        <v>0</v>
      </c>
      <c r="E464" s="30"/>
      <c r="F464" s="30"/>
      <c r="J464" s="1" t="str">
        <f t="shared" ref="J464" si="568">CONCATENATE(J461,"3")</f>
        <v>13</v>
      </c>
      <c r="O464" s="1">
        <v>1</v>
      </c>
      <c r="P464" s="1">
        <v>0</v>
      </c>
      <c r="S464" s="1">
        <f t="shared" si="524"/>
        <v>8</v>
      </c>
      <c r="T464" s="1">
        <v>257</v>
      </c>
    </row>
    <row r="465" spans="1:20" s="8" customFormat="1" x14ac:dyDescent="0.3"/>
    <row r="466" spans="1:20" x14ac:dyDescent="0.3">
      <c r="A466" s="1">
        <f t="shared" ref="A466:A522" si="569">ROUND(CONCATENATE(S466,T466),0)</f>
        <v>9201</v>
      </c>
      <c r="B466" s="57" t="s">
        <v>0</v>
      </c>
      <c r="C466" s="57"/>
      <c r="D466" s="56" t="s">
        <v>46</v>
      </c>
      <c r="E466" s="56"/>
      <c r="F466" s="56"/>
      <c r="G466" s="56"/>
      <c r="H466" s="56"/>
      <c r="L466" s="1">
        <v>1</v>
      </c>
      <c r="M466" s="1">
        <v>2</v>
      </c>
      <c r="N466" s="1">
        <v>3</v>
      </c>
      <c r="O466" s="1">
        <v>4</v>
      </c>
      <c r="P466" s="1">
        <v>5</v>
      </c>
      <c r="Q466" s="1">
        <v>6</v>
      </c>
      <c r="R466" s="1">
        <v>7</v>
      </c>
      <c r="S466" s="1">
        <f t="shared" ref="S466" si="570">S464+1</f>
        <v>9</v>
      </c>
      <c r="T466" s="1">
        <v>201</v>
      </c>
    </row>
    <row r="467" spans="1:20" x14ac:dyDescent="0.3">
      <c r="A467" s="1">
        <f t="shared" si="569"/>
        <v>9202</v>
      </c>
      <c r="B467" s="57"/>
      <c r="C467" s="57"/>
      <c r="D467" s="57"/>
      <c r="E467" s="57"/>
      <c r="F467" s="57"/>
      <c r="G467" s="57"/>
      <c r="H467" s="57"/>
      <c r="K467" s="2" t="s">
        <v>1</v>
      </c>
      <c r="L467" s="2"/>
      <c r="M467" s="2" t="s">
        <v>2</v>
      </c>
      <c r="N467" s="2" t="s">
        <v>3</v>
      </c>
      <c r="O467" s="2" t="s">
        <v>4</v>
      </c>
      <c r="P467" s="2" t="s">
        <v>5</v>
      </c>
      <c r="S467" s="1">
        <f t="shared" ref="S467" si="571">S466</f>
        <v>9</v>
      </c>
      <c r="T467" s="1">
        <v>202</v>
      </c>
    </row>
    <row r="468" spans="1:20" x14ac:dyDescent="0.3">
      <c r="A468" s="1">
        <f t="shared" si="569"/>
        <v>9203</v>
      </c>
      <c r="B468" s="64" t="s">
        <v>6</v>
      </c>
      <c r="C468" s="64"/>
      <c r="D468" s="56" t="s">
        <v>109</v>
      </c>
      <c r="E468" s="56"/>
      <c r="F468" s="56"/>
      <c r="G468" s="56"/>
      <c r="H468" s="56"/>
      <c r="K468" s="3">
        <f t="shared" ref="K468" ca="1" si="572">IF(K470&gt;=3,N470,LOOKUP(15-($B497+1),M466:R466,M470:P470))</f>
        <v>0</v>
      </c>
      <c r="L468" s="2" t="str">
        <f t="shared" ref="L468" si="573">CONCATENATE($B497,"1")</f>
        <v>11</v>
      </c>
      <c r="M468" s="2">
        <f t="shared" ref="M468" si="574">VLOOKUP(L468,J471:P522,O466,FALSE)</f>
        <v>0</v>
      </c>
      <c r="N468" s="2">
        <f t="shared" ref="N468" si="575">VLOOKUP(L468,J471:P522,P466,FALSE)</f>
        <v>0</v>
      </c>
      <c r="O468" s="2">
        <f t="shared" ref="O468" si="576">VLOOKUP(L468,J471:P522,Q466,FALSE)</f>
        <v>1.0025000000000008</v>
      </c>
      <c r="P468" s="2">
        <f t="shared" ref="P468" si="577">VLOOKUP(L468,J471:P522,R466,FALSE)</f>
        <v>-2.1916666666674018</v>
      </c>
      <c r="S468" s="1">
        <f t="shared" si="524"/>
        <v>9</v>
      </c>
      <c r="T468" s="1">
        <v>203</v>
      </c>
    </row>
    <row r="469" spans="1:20" x14ac:dyDescent="0.3">
      <c r="A469" s="1">
        <f t="shared" si="569"/>
        <v>9204</v>
      </c>
      <c r="B469" s="57" t="s">
        <v>7</v>
      </c>
      <c r="C469" s="57"/>
      <c r="D469" s="56" t="s">
        <v>98</v>
      </c>
      <c r="E469" s="56"/>
      <c r="F469" s="56"/>
      <c r="G469" s="56"/>
      <c r="H469" s="56"/>
      <c r="K469" s="2" t="s">
        <v>8</v>
      </c>
      <c r="L469" s="2" t="str">
        <f t="shared" ref="L469" si="578">CONCATENATE($B497,"2")</f>
        <v>12</v>
      </c>
      <c r="M469" s="2">
        <f t="shared" ref="M469" si="579">VLOOKUP(L469,J471:P522,O466,FALSE)</f>
        <v>0</v>
      </c>
      <c r="N469" s="2">
        <f t="shared" ref="N469" si="580">VLOOKUP(L469,J471:P522,P466,FALSE)</f>
        <v>0</v>
      </c>
      <c r="O469" s="2">
        <f t="shared" ref="O469" si="581">VLOOKUP(L469,J471:P522,Q466,FALSE)</f>
        <v>1.4433756729743037E-3</v>
      </c>
      <c r="P469" s="2">
        <f t="shared" ref="P469" si="582">VLOOKUP(L469,J471:P522,R466,FALSE)</f>
        <v>1.3425462954982792</v>
      </c>
      <c r="S469" s="1">
        <f t="shared" si="524"/>
        <v>9</v>
      </c>
      <c r="T469" s="1">
        <v>204</v>
      </c>
    </row>
    <row r="470" spans="1:20" x14ac:dyDescent="0.3">
      <c r="A470" s="1">
        <f t="shared" si="569"/>
        <v>9205</v>
      </c>
      <c r="B470" s="57" t="s">
        <v>9</v>
      </c>
      <c r="C470" s="57"/>
      <c r="D470" s="56" t="s">
        <v>91</v>
      </c>
      <c r="E470" s="56"/>
      <c r="F470" s="56"/>
      <c r="G470" s="56"/>
      <c r="H470" s="56"/>
      <c r="K470" s="3">
        <f t="shared" ref="K470" si="583">IF(B497&gt;3,3,B497)</f>
        <v>1</v>
      </c>
      <c r="L470" s="2" t="str">
        <f t="shared" ref="L470" si="584">CONCATENATE($B497,"3")</f>
        <v>13</v>
      </c>
      <c r="M470" s="2">
        <f t="shared" ref="M470" si="585">VLOOKUP(L470,J471:P522,O466,FALSE)</f>
        <v>0</v>
      </c>
      <c r="N470" s="2">
        <f t="shared" ref="N470" si="586">VLOOKUP(L470,J471:P522,P466,FALSE)</f>
        <v>0</v>
      </c>
      <c r="O470" s="2">
        <f t="shared" ref="O470" si="587">VLOOKUP(L470,J471:P522,Q466,FALSE)</f>
        <v>0.99999792704869772</v>
      </c>
      <c r="P470" s="2">
        <f t="shared" ref="P470" si="588">VLOOKUP(L470,J471:P522,R466,FALSE)</f>
        <v>4.0824829046393063E-2</v>
      </c>
      <c r="S470" s="1">
        <f t="shared" si="524"/>
        <v>9</v>
      </c>
      <c r="T470" s="1">
        <v>205</v>
      </c>
    </row>
    <row r="471" spans="1:20" x14ac:dyDescent="0.3">
      <c r="A471" s="1">
        <f t="shared" si="569"/>
        <v>9206</v>
      </c>
      <c r="B471" s="57" t="s">
        <v>10</v>
      </c>
      <c r="C471" s="57"/>
      <c r="D471" s="56" t="s">
        <v>138</v>
      </c>
      <c r="E471" s="56"/>
      <c r="F471" s="56"/>
      <c r="G471" s="56"/>
      <c r="H471" s="56"/>
      <c r="J471" s="1">
        <v>13</v>
      </c>
      <c r="M471" s="1" t="s">
        <v>2</v>
      </c>
      <c r="N471" s="1" t="s">
        <v>3</v>
      </c>
      <c r="O471" s="1" t="s">
        <v>4</v>
      </c>
      <c r="P471" s="1" t="s">
        <v>5</v>
      </c>
      <c r="S471" s="1">
        <f t="shared" si="524"/>
        <v>9</v>
      </c>
      <c r="T471" s="1">
        <v>206</v>
      </c>
    </row>
    <row r="472" spans="1:20" x14ac:dyDescent="0.3">
      <c r="A472" s="1">
        <f t="shared" si="569"/>
        <v>9207</v>
      </c>
      <c r="B472" s="57" t="s">
        <v>11</v>
      </c>
      <c r="C472" s="57"/>
      <c r="D472" s="63">
        <v>45822</v>
      </c>
      <c r="E472" s="63"/>
      <c r="F472" s="63"/>
      <c r="G472" s="63"/>
      <c r="H472" s="63"/>
      <c r="J472" s="1" t="str">
        <f t="shared" ref="J472" si="589">CONCATENATE(J471,"1")</f>
        <v>131</v>
      </c>
      <c r="M472" s="1" t="e">
        <f t="array" ref="M472:P474">LINEST($B482:$B496,$C482:$C496^{1,2,3},TRUE,TRUE)</f>
        <v>#VALUE!</v>
      </c>
      <c r="N472" s="1" t="e">
        <v>#VALUE!</v>
      </c>
      <c r="O472" s="1" t="e">
        <v>#VALUE!</v>
      </c>
      <c r="P472" s="1" t="e">
        <v>#VALUE!</v>
      </c>
      <c r="S472" s="1">
        <f t="shared" si="524"/>
        <v>9</v>
      </c>
      <c r="T472" s="1">
        <v>207</v>
      </c>
    </row>
    <row r="473" spans="1:20" x14ac:dyDescent="0.3">
      <c r="A473" s="1">
        <f t="shared" si="569"/>
        <v>9208</v>
      </c>
      <c r="B473" s="57" t="s">
        <v>12</v>
      </c>
      <c r="C473" s="57"/>
      <c r="D473" s="58">
        <v>46203</v>
      </c>
      <c r="E473" s="58"/>
      <c r="F473" s="58"/>
      <c r="G473" s="58"/>
      <c r="H473" s="58"/>
      <c r="J473" s="1" t="str">
        <f t="shared" ref="J473" si="590">CONCATENATE(J471,"2")</f>
        <v>132</v>
      </c>
      <c r="M473" s="1" t="e">
        <v>#VALUE!</v>
      </c>
      <c r="N473" s="1" t="e">
        <v>#VALUE!</v>
      </c>
      <c r="O473" s="1" t="e">
        <v>#VALUE!</v>
      </c>
      <c r="P473" s="1" t="e">
        <v>#VALUE!</v>
      </c>
      <c r="S473" s="1">
        <f t="shared" si="524"/>
        <v>9</v>
      </c>
      <c r="T473" s="1">
        <v>208</v>
      </c>
    </row>
    <row r="474" spans="1:20" x14ac:dyDescent="0.3">
      <c r="A474" s="1">
        <f t="shared" si="569"/>
        <v>9209</v>
      </c>
      <c r="B474" s="57" t="s">
        <v>13</v>
      </c>
      <c r="C474" s="57"/>
      <c r="D474" s="9">
        <v>0.1</v>
      </c>
      <c r="E474" s="54" t="s">
        <v>14</v>
      </c>
      <c r="F474" s="54"/>
      <c r="G474" s="54"/>
      <c r="H474" s="9" t="s">
        <v>59</v>
      </c>
      <c r="J474" s="1" t="str">
        <f t="shared" ref="J474" si="591">CONCATENATE(J471,"3")</f>
        <v>133</v>
      </c>
      <c r="M474" s="1" t="e">
        <v>#VALUE!</v>
      </c>
      <c r="N474" s="1" t="e">
        <v>#VALUE!</v>
      </c>
      <c r="O474" s="1" t="e">
        <v>#VALUE!</v>
      </c>
      <c r="P474" s="1" t="e">
        <v>#VALUE!</v>
      </c>
      <c r="S474" s="1">
        <f t="shared" si="524"/>
        <v>9</v>
      </c>
      <c r="T474" s="1">
        <v>209</v>
      </c>
    </row>
    <row r="475" spans="1:20" x14ac:dyDescent="0.3">
      <c r="A475" s="1">
        <f t="shared" si="569"/>
        <v>9210</v>
      </c>
      <c r="B475" s="57" t="s">
        <v>15</v>
      </c>
      <c r="C475" s="57"/>
      <c r="D475" s="2">
        <f>MIN(B482:B496)</f>
        <v>910.1</v>
      </c>
      <c r="E475" s="4" t="s">
        <v>16</v>
      </c>
      <c r="F475" s="2">
        <f t="shared" ref="F475" si="592">MAX(B482:B496)</f>
        <v>950.2</v>
      </c>
      <c r="G475" s="5" t="str">
        <f t="shared" ref="G475" si="593">IF(H474="","",H474)</f>
        <v>hPa</v>
      </c>
      <c r="H475" s="23"/>
      <c r="J475" s="1">
        <f t="shared" ref="J475" si="594">J471-1</f>
        <v>12</v>
      </c>
      <c r="M475" s="1" t="s">
        <v>2</v>
      </c>
      <c r="N475" s="1" t="s">
        <v>3</v>
      </c>
      <c r="O475" s="1" t="s">
        <v>4</v>
      </c>
      <c r="P475" s="1" t="s">
        <v>5</v>
      </c>
      <c r="S475" s="1">
        <f t="shared" si="524"/>
        <v>9</v>
      </c>
      <c r="T475" s="1">
        <v>210</v>
      </c>
    </row>
    <row r="476" spans="1:20" x14ac:dyDescent="0.3">
      <c r="A476" s="1">
        <f t="shared" si="569"/>
        <v>9211</v>
      </c>
      <c r="J476" s="1" t="str">
        <f t="shared" ref="J476" si="595">CONCATENATE(J475,"1")</f>
        <v>121</v>
      </c>
      <c r="M476" s="1" t="e">
        <f t="array" ref="M476:P478">LINEST($B482:$B495,$C482:$C495^{1,2,3},TRUE,TRUE)</f>
        <v>#VALUE!</v>
      </c>
      <c r="N476" s="1" t="e">
        <v>#VALUE!</v>
      </c>
      <c r="O476" s="1" t="e">
        <v>#VALUE!</v>
      </c>
      <c r="P476" s="1" t="e">
        <v>#VALUE!</v>
      </c>
      <c r="S476" s="1">
        <f t="shared" si="524"/>
        <v>9</v>
      </c>
      <c r="T476" s="1">
        <v>211</v>
      </c>
    </row>
    <row r="477" spans="1:20" x14ac:dyDescent="0.3">
      <c r="A477" s="1">
        <f t="shared" si="569"/>
        <v>9212</v>
      </c>
      <c r="B477" s="59" t="s">
        <v>17</v>
      </c>
      <c r="C477" s="59"/>
      <c r="D477" s="59"/>
      <c r="E477" s="59"/>
      <c r="F477" s="59"/>
      <c r="G477" s="60" t="s">
        <v>29</v>
      </c>
      <c r="H477" s="61"/>
      <c r="J477" s="1" t="str">
        <f t="shared" ref="J477" si="596">CONCATENATE(J475,"2")</f>
        <v>122</v>
      </c>
      <c r="M477" s="1" t="e">
        <v>#VALUE!</v>
      </c>
      <c r="N477" s="1" t="e">
        <v>#VALUE!</v>
      </c>
      <c r="O477" s="1" t="e">
        <v>#VALUE!</v>
      </c>
      <c r="P477" s="1" t="e">
        <v>#VALUE!</v>
      </c>
      <c r="S477" s="1">
        <f t="shared" si="524"/>
        <v>9</v>
      </c>
      <c r="T477" s="1">
        <v>212</v>
      </c>
    </row>
    <row r="478" spans="1:20" x14ac:dyDescent="0.3">
      <c r="A478" s="1">
        <f t="shared" si="569"/>
        <v>9213</v>
      </c>
      <c r="B478" s="54" t="s">
        <v>18</v>
      </c>
      <c r="C478" s="54"/>
      <c r="D478" s="54"/>
      <c r="E478" s="54" t="str">
        <f t="shared" ref="E478" si="597">IF(D471="","",D471)</f>
        <v>E0397B/25</v>
      </c>
      <c r="F478" s="54"/>
      <c r="G478" s="5" t="s">
        <v>18</v>
      </c>
      <c r="H478" s="33" t="s">
        <v>110</v>
      </c>
      <c r="J478" s="1" t="str">
        <f t="shared" ref="J478" si="598">CONCATENATE(J475,"3")</f>
        <v>123</v>
      </c>
      <c r="M478" s="1" t="e">
        <v>#VALUE!</v>
      </c>
      <c r="N478" s="1" t="e">
        <v>#VALUE!</v>
      </c>
      <c r="O478" s="1" t="e">
        <v>#VALUE!</v>
      </c>
      <c r="P478" s="1" t="e">
        <v>#VALUE!</v>
      </c>
      <c r="S478" s="1">
        <f t="shared" si="524"/>
        <v>9</v>
      </c>
      <c r="T478" s="1">
        <v>213</v>
      </c>
    </row>
    <row r="479" spans="1:20" ht="15" customHeight="1" x14ac:dyDescent="0.3">
      <c r="A479" s="1">
        <f t="shared" si="569"/>
        <v>9214</v>
      </c>
      <c r="B479" s="6" t="s">
        <v>19</v>
      </c>
      <c r="C479" s="6" t="s">
        <v>20</v>
      </c>
      <c r="D479" s="6" t="s">
        <v>21</v>
      </c>
      <c r="E479" s="6"/>
      <c r="F479" s="55" t="s">
        <v>31</v>
      </c>
      <c r="G479" s="6" t="s">
        <v>19</v>
      </c>
      <c r="H479" s="6" t="s">
        <v>20</v>
      </c>
      <c r="J479" s="1">
        <f t="shared" ref="J479" si="599">J475-1</f>
        <v>11</v>
      </c>
      <c r="M479" s="1" t="s">
        <v>2</v>
      </c>
      <c r="N479" s="1" t="s">
        <v>3</v>
      </c>
      <c r="O479" s="1" t="s">
        <v>4</v>
      </c>
      <c r="P479" s="1" t="s">
        <v>5</v>
      </c>
      <c r="S479" s="1">
        <f t="shared" si="524"/>
        <v>9</v>
      </c>
      <c r="T479" s="1">
        <v>214</v>
      </c>
    </row>
    <row r="480" spans="1:20" x14ac:dyDescent="0.3">
      <c r="A480" s="1">
        <f t="shared" si="569"/>
        <v>9215</v>
      </c>
      <c r="B480" s="6" t="s">
        <v>22</v>
      </c>
      <c r="C480" s="6" t="s">
        <v>23</v>
      </c>
      <c r="D480" s="6" t="s">
        <v>24</v>
      </c>
      <c r="E480" s="6" t="s">
        <v>30</v>
      </c>
      <c r="F480" s="55"/>
      <c r="G480" s="6" t="s">
        <v>22</v>
      </c>
      <c r="H480" s="6" t="s">
        <v>23</v>
      </c>
      <c r="J480" s="1" t="str">
        <f t="shared" ref="J480" si="600">CONCATENATE(J479,"1")</f>
        <v>111</v>
      </c>
      <c r="M480" s="1" t="e">
        <f t="array" ref="M480:P482">LINEST($B482:$B494,$C482:$C494^{1,2,3},TRUE,TRUE)</f>
        <v>#VALUE!</v>
      </c>
      <c r="N480" s="1" t="e">
        <v>#VALUE!</v>
      </c>
      <c r="O480" s="1" t="e">
        <v>#VALUE!</v>
      </c>
      <c r="P480" s="1" t="e">
        <v>#VALUE!</v>
      </c>
      <c r="S480" s="1">
        <f t="shared" si="524"/>
        <v>9</v>
      </c>
      <c r="T480" s="1">
        <v>215</v>
      </c>
    </row>
    <row r="481" spans="1:20" x14ac:dyDescent="0.3">
      <c r="A481" s="1">
        <f t="shared" si="569"/>
        <v>9216</v>
      </c>
      <c r="B481" s="7" t="str">
        <f t="shared" ref="B481" si="601">IF(H474="","",H474)</f>
        <v>hPa</v>
      </c>
      <c r="C481" s="7" t="str">
        <f t="shared" ref="C481" si="602">IF(H474="","",H474)</f>
        <v>hPa</v>
      </c>
      <c r="D481" s="7" t="str">
        <f t="shared" ref="D481" si="603">IF(H474="","",H474)</f>
        <v>hPa</v>
      </c>
      <c r="E481" s="7"/>
      <c r="F481" s="7" t="str">
        <f t="shared" ref="F481" si="604">IF(I474="","",I474)</f>
        <v/>
      </c>
      <c r="G481" s="7" t="str">
        <f t="shared" ref="G481" si="605">IF(H474="","",H474)</f>
        <v>hPa</v>
      </c>
      <c r="H481" s="7" t="str">
        <f t="shared" ref="H481" si="606">IF(H474="","",H474)</f>
        <v>hPa</v>
      </c>
      <c r="J481" s="1" t="str">
        <f t="shared" ref="J481" si="607">CONCATENATE(J479,"2")</f>
        <v>112</v>
      </c>
      <c r="M481" s="1" t="e">
        <v>#VALUE!</v>
      </c>
      <c r="N481" s="1" t="e">
        <v>#VALUE!</v>
      </c>
      <c r="O481" s="1" t="e">
        <v>#VALUE!</v>
      </c>
      <c r="P481" s="1" t="e">
        <v>#VALUE!</v>
      </c>
      <c r="S481" s="1">
        <f t="shared" si="524"/>
        <v>9</v>
      </c>
      <c r="T481" s="1">
        <v>216</v>
      </c>
    </row>
    <row r="482" spans="1:20" x14ac:dyDescent="0.3">
      <c r="A482" s="1">
        <f t="shared" si="569"/>
        <v>9217</v>
      </c>
      <c r="B482" s="24">
        <v>910.1</v>
      </c>
      <c r="C482" s="24">
        <v>910</v>
      </c>
      <c r="D482" s="24">
        <v>0.2</v>
      </c>
      <c r="E482" s="24">
        <v>2</v>
      </c>
      <c r="F482" s="24">
        <v>1000000</v>
      </c>
      <c r="G482" s="25">
        <v>910</v>
      </c>
      <c r="H482" s="25">
        <v>910.2</v>
      </c>
      <c r="J482" s="1" t="str">
        <f t="shared" ref="J482" si="608">CONCATENATE(J479,"3")</f>
        <v>113</v>
      </c>
      <c r="M482" s="1" t="e">
        <v>#VALUE!</v>
      </c>
      <c r="N482" s="1" t="e">
        <v>#VALUE!</v>
      </c>
      <c r="O482" s="1" t="e">
        <v>#VALUE!</v>
      </c>
      <c r="P482" s="1" t="e">
        <v>#VALUE!</v>
      </c>
      <c r="S482" s="1">
        <f t="shared" si="524"/>
        <v>9</v>
      </c>
      <c r="T482" s="1">
        <v>217</v>
      </c>
    </row>
    <row r="483" spans="1:20" x14ac:dyDescent="0.3">
      <c r="A483" s="1">
        <f t="shared" si="569"/>
        <v>9218</v>
      </c>
      <c r="B483" s="24">
        <v>930.1</v>
      </c>
      <c r="C483" s="24">
        <v>930</v>
      </c>
      <c r="D483" s="24">
        <v>0.2</v>
      </c>
      <c r="E483" s="24">
        <v>2</v>
      </c>
      <c r="F483" s="24">
        <v>1000000</v>
      </c>
      <c r="G483" s="25">
        <v>930</v>
      </c>
      <c r="H483" s="25">
        <v>930.2</v>
      </c>
      <c r="J483" s="1">
        <f t="shared" ref="J483" si="609">J479-1</f>
        <v>10</v>
      </c>
      <c r="M483" s="1" t="s">
        <v>2</v>
      </c>
      <c r="N483" s="1" t="s">
        <v>3</v>
      </c>
      <c r="O483" s="1" t="s">
        <v>4</v>
      </c>
      <c r="P483" s="1" t="s">
        <v>5</v>
      </c>
      <c r="S483" s="1">
        <f t="shared" si="524"/>
        <v>9</v>
      </c>
      <c r="T483" s="1">
        <v>218</v>
      </c>
    </row>
    <row r="484" spans="1:20" x14ac:dyDescent="0.3">
      <c r="A484" s="1">
        <f t="shared" si="569"/>
        <v>9219</v>
      </c>
      <c r="B484" s="24">
        <v>950.2</v>
      </c>
      <c r="C484" s="24">
        <v>950</v>
      </c>
      <c r="D484" s="24">
        <v>0.2</v>
      </c>
      <c r="E484" s="24">
        <v>2</v>
      </c>
      <c r="F484" s="24">
        <v>1000000</v>
      </c>
      <c r="G484" s="25">
        <v>950</v>
      </c>
      <c r="H484" s="25">
        <v>950.3</v>
      </c>
      <c r="J484" s="1" t="str">
        <f t="shared" ref="J484" si="610">CONCATENATE(J483,"1")</f>
        <v>101</v>
      </c>
      <c r="M484" s="1" t="e">
        <f t="array" ref="M484:P486">LINEST($B482:$B493,$C482:$C493^{1,2,3},TRUE,TRUE)</f>
        <v>#VALUE!</v>
      </c>
      <c r="N484" s="1" t="e">
        <v>#VALUE!</v>
      </c>
      <c r="O484" s="1" t="e">
        <v>#VALUE!</v>
      </c>
      <c r="P484" s="1" t="e">
        <v>#VALUE!</v>
      </c>
      <c r="S484" s="1">
        <f t="shared" si="524"/>
        <v>9</v>
      </c>
      <c r="T484" s="1">
        <v>219</v>
      </c>
    </row>
    <row r="485" spans="1:20" x14ac:dyDescent="0.3">
      <c r="A485" s="1">
        <f t="shared" si="569"/>
        <v>9220</v>
      </c>
      <c r="B485" s="24"/>
      <c r="C485" s="24"/>
      <c r="D485" s="24"/>
      <c r="E485" s="24"/>
      <c r="F485" s="24"/>
      <c r="G485" s="25"/>
      <c r="H485" s="25"/>
      <c r="J485" s="1" t="str">
        <f t="shared" ref="J485" si="611">CONCATENATE(J483,"2")</f>
        <v>102</v>
      </c>
      <c r="M485" s="1" t="e">
        <v>#VALUE!</v>
      </c>
      <c r="N485" s="1" t="e">
        <v>#VALUE!</v>
      </c>
      <c r="O485" s="1" t="e">
        <v>#VALUE!</v>
      </c>
      <c r="P485" s="1" t="e">
        <v>#VALUE!</v>
      </c>
      <c r="S485" s="1">
        <f t="shared" si="524"/>
        <v>9</v>
      </c>
      <c r="T485" s="1">
        <v>220</v>
      </c>
    </row>
    <row r="486" spans="1:20" x14ac:dyDescent="0.3">
      <c r="A486" s="1">
        <f t="shared" si="569"/>
        <v>9221</v>
      </c>
      <c r="B486" s="24"/>
      <c r="C486" s="24"/>
      <c r="D486" s="24"/>
      <c r="E486" s="24"/>
      <c r="F486" s="24"/>
      <c r="G486" s="25"/>
      <c r="H486" s="25"/>
      <c r="J486" s="1" t="str">
        <f t="shared" ref="J486" si="612">CONCATENATE(J483,"3")</f>
        <v>103</v>
      </c>
      <c r="M486" s="1" t="e">
        <v>#VALUE!</v>
      </c>
      <c r="N486" s="1" t="e">
        <v>#VALUE!</v>
      </c>
      <c r="O486" s="1" t="e">
        <v>#VALUE!</v>
      </c>
      <c r="P486" s="1" t="e">
        <v>#VALUE!</v>
      </c>
      <c r="S486" s="1">
        <f t="shared" si="524"/>
        <v>9</v>
      </c>
      <c r="T486" s="1">
        <v>221</v>
      </c>
    </row>
    <row r="487" spans="1:20" x14ac:dyDescent="0.3">
      <c r="A487" s="1">
        <f t="shared" si="569"/>
        <v>9222</v>
      </c>
      <c r="B487" s="24"/>
      <c r="C487" s="24"/>
      <c r="D487" s="24"/>
      <c r="E487" s="24"/>
      <c r="F487" s="24"/>
      <c r="G487" s="25"/>
      <c r="H487" s="25"/>
      <c r="J487" s="1">
        <f t="shared" ref="J487" si="613">J483-1</f>
        <v>9</v>
      </c>
      <c r="M487" s="1" t="s">
        <v>2</v>
      </c>
      <c r="N487" s="1" t="s">
        <v>3</v>
      </c>
      <c r="O487" s="1" t="s">
        <v>4</v>
      </c>
      <c r="P487" s="1" t="s">
        <v>5</v>
      </c>
      <c r="S487" s="1">
        <f t="shared" si="524"/>
        <v>9</v>
      </c>
      <c r="T487" s="1">
        <v>222</v>
      </c>
    </row>
    <row r="488" spans="1:20" x14ac:dyDescent="0.3">
      <c r="A488" s="1">
        <f t="shared" si="569"/>
        <v>9223</v>
      </c>
      <c r="B488" s="24"/>
      <c r="C488" s="24"/>
      <c r="D488" s="24"/>
      <c r="E488" s="24"/>
      <c r="F488" s="24"/>
      <c r="G488" s="25"/>
      <c r="H488" s="25"/>
      <c r="J488" s="1" t="str">
        <f t="shared" ref="J488" si="614">CONCATENATE(J487,"1")</f>
        <v>91</v>
      </c>
      <c r="M488" s="1" t="e">
        <f t="array" ref="M488:P490">LINEST($B482:$B492,$C482:$C492^{1,2,3},TRUE,TRUE)</f>
        <v>#VALUE!</v>
      </c>
      <c r="N488" s="1" t="e">
        <v>#VALUE!</v>
      </c>
      <c r="O488" s="1" t="e">
        <v>#VALUE!</v>
      </c>
      <c r="P488" s="1" t="e">
        <v>#VALUE!</v>
      </c>
      <c r="S488" s="1">
        <f t="shared" si="524"/>
        <v>9</v>
      </c>
      <c r="T488" s="1">
        <v>223</v>
      </c>
    </row>
    <row r="489" spans="1:20" x14ac:dyDescent="0.3">
      <c r="A489" s="1">
        <f t="shared" si="569"/>
        <v>9224</v>
      </c>
      <c r="B489" s="24"/>
      <c r="C489" s="24"/>
      <c r="D489" s="24"/>
      <c r="E489" s="24"/>
      <c r="F489" s="24"/>
      <c r="G489" s="25"/>
      <c r="H489" s="25"/>
      <c r="J489" s="1" t="str">
        <f t="shared" ref="J489" si="615">CONCATENATE(J487,"2")</f>
        <v>92</v>
      </c>
      <c r="M489" s="1" t="e">
        <v>#VALUE!</v>
      </c>
      <c r="N489" s="1" t="e">
        <v>#VALUE!</v>
      </c>
      <c r="O489" s="1" t="e">
        <v>#VALUE!</v>
      </c>
      <c r="P489" s="1" t="e">
        <v>#VALUE!</v>
      </c>
      <c r="S489" s="1">
        <f t="shared" si="524"/>
        <v>9</v>
      </c>
      <c r="T489" s="1">
        <v>224</v>
      </c>
    </row>
    <row r="490" spans="1:20" x14ac:dyDescent="0.3">
      <c r="A490" s="1">
        <f t="shared" si="569"/>
        <v>9225</v>
      </c>
      <c r="B490" s="24"/>
      <c r="C490" s="24"/>
      <c r="D490" s="24"/>
      <c r="E490" s="24"/>
      <c r="F490" s="24"/>
      <c r="G490" s="25"/>
      <c r="H490" s="25"/>
      <c r="J490" s="1" t="str">
        <f t="shared" ref="J490" si="616">CONCATENATE(J487,"3")</f>
        <v>93</v>
      </c>
      <c r="M490" s="1" t="e">
        <v>#VALUE!</v>
      </c>
      <c r="N490" s="1" t="e">
        <v>#VALUE!</v>
      </c>
      <c r="O490" s="1" t="e">
        <v>#VALUE!</v>
      </c>
      <c r="P490" s="1" t="e">
        <v>#VALUE!</v>
      </c>
      <c r="S490" s="1">
        <f t="shared" si="524"/>
        <v>9</v>
      </c>
      <c r="T490" s="1">
        <v>225</v>
      </c>
    </row>
    <row r="491" spans="1:20" x14ac:dyDescent="0.3">
      <c r="A491" s="1">
        <f t="shared" si="569"/>
        <v>9226</v>
      </c>
      <c r="B491" s="24"/>
      <c r="C491" s="24"/>
      <c r="D491" s="24"/>
      <c r="E491" s="24"/>
      <c r="F491" s="24"/>
      <c r="G491" s="25"/>
      <c r="H491" s="25"/>
      <c r="J491" s="1">
        <f t="shared" ref="J491" si="617">J487-1</f>
        <v>8</v>
      </c>
      <c r="M491" s="1" t="s">
        <v>2</v>
      </c>
      <c r="N491" s="1" t="s">
        <v>3</v>
      </c>
      <c r="O491" s="1" t="s">
        <v>4</v>
      </c>
      <c r="P491" s="1" t="s">
        <v>5</v>
      </c>
      <c r="S491" s="1">
        <f t="shared" si="524"/>
        <v>9</v>
      </c>
      <c r="T491" s="1">
        <v>226</v>
      </c>
    </row>
    <row r="492" spans="1:20" x14ac:dyDescent="0.3">
      <c r="A492" s="1">
        <f t="shared" si="569"/>
        <v>9227</v>
      </c>
      <c r="B492" s="24"/>
      <c r="C492" s="24"/>
      <c r="D492" s="24"/>
      <c r="E492" s="24"/>
      <c r="F492" s="24"/>
      <c r="G492" s="25"/>
      <c r="H492" s="25"/>
      <c r="J492" s="1" t="str">
        <f t="shared" ref="J492" si="618">CONCATENATE(J491,"1")</f>
        <v>81</v>
      </c>
      <c r="M492" s="1" t="e">
        <f t="array" ref="M492:P494">LINEST($B482:$B491,$C482:$C491^{1,2,3},TRUE,TRUE)</f>
        <v>#VALUE!</v>
      </c>
      <c r="N492" s="1" t="e">
        <v>#VALUE!</v>
      </c>
      <c r="O492" s="1" t="e">
        <v>#VALUE!</v>
      </c>
      <c r="P492" s="1" t="e">
        <v>#VALUE!</v>
      </c>
      <c r="S492" s="1">
        <f t="shared" si="524"/>
        <v>9</v>
      </c>
      <c r="T492" s="1">
        <v>227</v>
      </c>
    </row>
    <row r="493" spans="1:20" x14ac:dyDescent="0.3">
      <c r="A493" s="1">
        <f t="shared" si="569"/>
        <v>9228</v>
      </c>
      <c r="B493" s="24"/>
      <c r="C493" s="24"/>
      <c r="D493" s="24"/>
      <c r="E493" s="24"/>
      <c r="F493" s="24"/>
      <c r="G493" s="25"/>
      <c r="H493" s="25"/>
      <c r="J493" s="1" t="str">
        <f t="shared" ref="J493" si="619">CONCATENATE(J491,"2")</f>
        <v>82</v>
      </c>
      <c r="M493" s="1" t="e">
        <v>#VALUE!</v>
      </c>
      <c r="N493" s="1" t="e">
        <v>#VALUE!</v>
      </c>
      <c r="O493" s="1" t="e">
        <v>#VALUE!</v>
      </c>
      <c r="P493" s="1" t="e">
        <v>#VALUE!</v>
      </c>
      <c r="S493" s="1">
        <f t="shared" si="524"/>
        <v>9</v>
      </c>
      <c r="T493" s="1">
        <v>228</v>
      </c>
    </row>
    <row r="494" spans="1:20" x14ac:dyDescent="0.3">
      <c r="A494" s="1">
        <f t="shared" si="569"/>
        <v>9229</v>
      </c>
      <c r="B494" s="24"/>
      <c r="C494" s="24"/>
      <c r="D494" s="24"/>
      <c r="E494" s="24"/>
      <c r="F494" s="24"/>
      <c r="G494" s="25"/>
      <c r="H494" s="25"/>
      <c r="J494" s="1" t="str">
        <f t="shared" ref="J494" si="620">CONCATENATE(J491,"3")</f>
        <v>83</v>
      </c>
      <c r="M494" s="1" t="e">
        <v>#VALUE!</v>
      </c>
      <c r="N494" s="1" t="e">
        <v>#VALUE!</v>
      </c>
      <c r="O494" s="1" t="e">
        <v>#VALUE!</v>
      </c>
      <c r="P494" s="1" t="e">
        <v>#VALUE!</v>
      </c>
      <c r="S494" s="1">
        <f t="shared" si="524"/>
        <v>9</v>
      </c>
      <c r="T494" s="1">
        <v>229</v>
      </c>
    </row>
    <row r="495" spans="1:20" x14ac:dyDescent="0.3">
      <c r="A495" s="1">
        <f t="shared" si="569"/>
        <v>9230</v>
      </c>
      <c r="B495" s="24"/>
      <c r="C495" s="24"/>
      <c r="D495" s="24"/>
      <c r="E495" s="24"/>
      <c r="F495" s="24"/>
      <c r="G495" s="25"/>
      <c r="H495" s="25"/>
      <c r="J495" s="1">
        <f t="shared" ref="J495" si="621">J491-1</f>
        <v>7</v>
      </c>
      <c r="M495" s="1" t="s">
        <v>2</v>
      </c>
      <c r="N495" s="1" t="s">
        <v>3</v>
      </c>
      <c r="O495" s="1" t="s">
        <v>4</v>
      </c>
      <c r="P495" s="1" t="s">
        <v>5</v>
      </c>
      <c r="S495" s="1">
        <f t="shared" si="524"/>
        <v>9</v>
      </c>
      <c r="T495" s="1">
        <v>230</v>
      </c>
    </row>
    <row r="496" spans="1:20" x14ac:dyDescent="0.3">
      <c r="A496" s="1">
        <f t="shared" si="569"/>
        <v>9231</v>
      </c>
      <c r="B496" s="24"/>
      <c r="C496" s="24"/>
      <c r="D496" s="24"/>
      <c r="E496" s="24"/>
      <c r="F496" s="24"/>
      <c r="G496" s="25"/>
      <c r="H496" s="25"/>
      <c r="J496" s="1" t="str">
        <f t="shared" ref="J496" si="622">CONCATENATE(J495,"1")</f>
        <v>71</v>
      </c>
      <c r="M496" s="1" t="e">
        <f t="array" ref="M496:P498">LINEST($B482:$B490,$C482:$C490^{1,2,3},TRUE,TRUE)</f>
        <v>#VALUE!</v>
      </c>
      <c r="N496" s="1" t="e">
        <v>#VALUE!</v>
      </c>
      <c r="O496" s="1" t="e">
        <v>#VALUE!</v>
      </c>
      <c r="P496" s="1" t="e">
        <v>#VALUE!</v>
      </c>
      <c r="S496" s="1">
        <f t="shared" si="524"/>
        <v>9</v>
      </c>
      <c r="T496" s="1">
        <v>231</v>
      </c>
    </row>
    <row r="497" spans="1:20" x14ac:dyDescent="0.3">
      <c r="A497" s="1">
        <f t="shared" si="569"/>
        <v>9232</v>
      </c>
      <c r="B497" s="2">
        <f t="shared" ref="B497" si="623">COUNT(B482:B496)-2</f>
        <v>1</v>
      </c>
      <c r="J497" s="1" t="str">
        <f t="shared" ref="J497" si="624">CONCATENATE(J495,"2")</f>
        <v>72</v>
      </c>
      <c r="M497" s="1" t="e">
        <v>#VALUE!</v>
      </c>
      <c r="N497" s="1" t="e">
        <v>#VALUE!</v>
      </c>
      <c r="O497" s="1" t="e">
        <v>#VALUE!</v>
      </c>
      <c r="P497" s="1" t="e">
        <v>#VALUE!</v>
      </c>
      <c r="S497" s="1">
        <f t="shared" ref="S497:S560" si="625">S496</f>
        <v>9</v>
      </c>
      <c r="T497" s="1">
        <v>232</v>
      </c>
    </row>
    <row r="498" spans="1:20" x14ac:dyDescent="0.3">
      <c r="A498" s="1">
        <f t="shared" si="569"/>
        <v>9233</v>
      </c>
      <c r="J498" s="1" t="str">
        <f t="shared" ref="J498" si="626">CONCATENATE(J495,"3")</f>
        <v>73</v>
      </c>
      <c r="M498" s="1" t="e">
        <v>#VALUE!</v>
      </c>
      <c r="N498" s="1" t="e">
        <v>#VALUE!</v>
      </c>
      <c r="O498" s="1" t="e">
        <v>#VALUE!</v>
      </c>
      <c r="P498" s="1" t="e">
        <v>#VALUE!</v>
      </c>
      <c r="S498" s="1">
        <f t="shared" si="625"/>
        <v>9</v>
      </c>
      <c r="T498" s="1">
        <v>233</v>
      </c>
    </row>
    <row r="499" spans="1:20" x14ac:dyDescent="0.3">
      <c r="A499" s="1">
        <f t="shared" si="569"/>
        <v>9234</v>
      </c>
      <c r="B499" s="54" t="s">
        <v>25</v>
      </c>
      <c r="C499" s="54"/>
      <c r="D499" s="54"/>
      <c r="E499" s="54"/>
      <c r="F499" s="54"/>
      <c r="G499" s="54"/>
      <c r="H499" s="54"/>
      <c r="J499" s="1">
        <f t="shared" ref="J499" si="627">J495-1</f>
        <v>6</v>
      </c>
      <c r="M499" s="1" t="s">
        <v>2</v>
      </c>
      <c r="N499" s="1" t="s">
        <v>3</v>
      </c>
      <c r="O499" s="1" t="s">
        <v>4</v>
      </c>
      <c r="P499" s="1" t="s">
        <v>5</v>
      </c>
      <c r="S499" s="1">
        <f t="shared" si="625"/>
        <v>9</v>
      </c>
      <c r="T499" s="1">
        <v>234</v>
      </c>
    </row>
    <row r="500" spans="1:20" x14ac:dyDescent="0.3">
      <c r="A500" s="1">
        <f t="shared" si="569"/>
        <v>9235</v>
      </c>
      <c r="B500" s="56"/>
      <c r="C500" s="56"/>
      <c r="D500" s="56"/>
      <c r="E500" s="56"/>
      <c r="F500" s="56"/>
      <c r="G500" s="56"/>
      <c r="H500" s="56"/>
      <c r="J500" s="1" t="str">
        <f t="shared" ref="J500" si="628">CONCATENATE(J499,"1")</f>
        <v>61</v>
      </c>
      <c r="M500" s="1" t="e">
        <f t="array" ref="M500:P502">LINEST($B482:$B489,$C482:$C489^{1,2,3},TRUE,TRUE)</f>
        <v>#VALUE!</v>
      </c>
      <c r="N500" s="1" t="e">
        <v>#VALUE!</v>
      </c>
      <c r="O500" s="1" t="e">
        <v>#VALUE!</v>
      </c>
      <c r="P500" s="1" t="e">
        <v>#VALUE!</v>
      </c>
      <c r="S500" s="1">
        <f t="shared" si="625"/>
        <v>9</v>
      </c>
      <c r="T500" s="1">
        <v>235</v>
      </c>
    </row>
    <row r="501" spans="1:20" x14ac:dyDescent="0.3">
      <c r="A501" s="1">
        <f t="shared" si="569"/>
        <v>9236</v>
      </c>
      <c r="B501" s="56"/>
      <c r="C501" s="56"/>
      <c r="D501" s="56"/>
      <c r="E501" s="56"/>
      <c r="F501" s="56"/>
      <c r="G501" s="56"/>
      <c r="H501" s="56"/>
      <c r="J501" s="1" t="str">
        <f t="shared" ref="J501" si="629">CONCATENATE(J499,"2")</f>
        <v>62</v>
      </c>
      <c r="M501" s="1" t="e">
        <v>#VALUE!</v>
      </c>
      <c r="N501" s="1" t="e">
        <v>#VALUE!</v>
      </c>
      <c r="O501" s="1" t="e">
        <v>#VALUE!</v>
      </c>
      <c r="P501" s="1" t="e">
        <v>#VALUE!</v>
      </c>
      <c r="S501" s="1">
        <f t="shared" si="625"/>
        <v>9</v>
      </c>
      <c r="T501" s="1">
        <v>236</v>
      </c>
    </row>
    <row r="502" spans="1:20" x14ac:dyDescent="0.3">
      <c r="A502" s="1">
        <f t="shared" si="569"/>
        <v>9237</v>
      </c>
      <c r="J502" s="1" t="str">
        <f t="shared" ref="J502" si="630">CONCATENATE(J499,"3")</f>
        <v>63</v>
      </c>
      <c r="M502" s="1" t="e">
        <v>#VALUE!</v>
      </c>
      <c r="N502" s="1" t="e">
        <v>#VALUE!</v>
      </c>
      <c r="O502" s="1" t="e">
        <v>#VALUE!</v>
      </c>
      <c r="P502" s="1" t="e">
        <v>#VALUE!</v>
      </c>
      <c r="S502" s="1">
        <f t="shared" si="625"/>
        <v>9</v>
      </c>
      <c r="T502" s="1">
        <v>237</v>
      </c>
    </row>
    <row r="503" spans="1:20" ht="15" customHeight="1" x14ac:dyDescent="0.3">
      <c r="A503" s="1">
        <f t="shared" si="569"/>
        <v>9238</v>
      </c>
      <c r="J503" s="1">
        <f t="shared" ref="J503" si="631">J499-1</f>
        <v>5</v>
      </c>
      <c r="M503" s="1" t="s">
        <v>2</v>
      </c>
      <c r="N503" s="1" t="s">
        <v>3</v>
      </c>
      <c r="O503" s="1" t="s">
        <v>4</v>
      </c>
      <c r="P503" s="1" t="s">
        <v>5</v>
      </c>
      <c r="S503" s="1">
        <f t="shared" si="625"/>
        <v>9</v>
      </c>
      <c r="T503" s="1">
        <v>238</v>
      </c>
    </row>
    <row r="504" spans="1:20" x14ac:dyDescent="0.3">
      <c r="A504" s="1">
        <f t="shared" si="569"/>
        <v>9239</v>
      </c>
      <c r="J504" s="1" t="str">
        <f t="shared" ref="J504" si="632">CONCATENATE(J503,"1")</f>
        <v>51</v>
      </c>
      <c r="M504" s="1" t="e">
        <f t="array" ref="M504:P506">LINEST($B482:$B488,$C482:$C488^{1,2,3},TRUE,TRUE)</f>
        <v>#VALUE!</v>
      </c>
      <c r="N504" s="1" t="e">
        <v>#VALUE!</v>
      </c>
      <c r="O504" s="1" t="e">
        <v>#VALUE!</v>
      </c>
      <c r="P504" s="1" t="e">
        <v>#VALUE!</v>
      </c>
      <c r="S504" s="1">
        <f t="shared" si="625"/>
        <v>9</v>
      </c>
      <c r="T504" s="1">
        <v>239</v>
      </c>
    </row>
    <row r="505" spans="1:20" x14ac:dyDescent="0.3">
      <c r="A505" s="1">
        <f t="shared" si="569"/>
        <v>9240</v>
      </c>
      <c r="E505" s="26"/>
      <c r="F505" s="26"/>
      <c r="G505" s="26"/>
      <c r="H505" s="26"/>
      <c r="J505" s="1" t="str">
        <f t="shared" ref="J505" si="633">CONCATENATE(J503,"2")</f>
        <v>52</v>
      </c>
      <c r="M505" s="1" t="e">
        <v>#VALUE!</v>
      </c>
      <c r="N505" s="1" t="e">
        <v>#VALUE!</v>
      </c>
      <c r="O505" s="1" t="e">
        <v>#VALUE!</v>
      </c>
      <c r="P505" s="1" t="e">
        <v>#VALUE!</v>
      </c>
      <c r="S505" s="1">
        <f t="shared" si="625"/>
        <v>9</v>
      </c>
      <c r="T505" s="1">
        <v>240</v>
      </c>
    </row>
    <row r="506" spans="1:20" x14ac:dyDescent="0.3">
      <c r="A506" s="1">
        <f t="shared" si="569"/>
        <v>9241</v>
      </c>
      <c r="B506" s="54" t="s">
        <v>90</v>
      </c>
      <c r="C506" s="54"/>
      <c r="D506" s="54"/>
      <c r="E506" s="27">
        <f t="shared" ref="E506" si="634">IF(D468="","",MAX(E507,E508))</f>
        <v>0.5</v>
      </c>
      <c r="F506" s="26"/>
      <c r="G506" s="26"/>
      <c r="H506" s="26"/>
      <c r="J506" s="1" t="str">
        <f t="shared" ref="J506" si="635">CONCATENATE(J503,"3")</f>
        <v>53</v>
      </c>
      <c r="M506" s="1" t="e">
        <v>#VALUE!</v>
      </c>
      <c r="N506" s="1" t="e">
        <v>#VALUE!</v>
      </c>
      <c r="O506" s="1" t="e">
        <v>#VALUE!</v>
      </c>
      <c r="P506" s="1" t="e">
        <v>#VALUE!</v>
      </c>
      <c r="S506" s="1">
        <f t="shared" si="625"/>
        <v>9</v>
      </c>
      <c r="T506" s="1">
        <v>241</v>
      </c>
    </row>
    <row r="507" spans="1:20" x14ac:dyDescent="0.3">
      <c r="A507" s="1">
        <f t="shared" si="569"/>
        <v>9242</v>
      </c>
      <c r="B507" s="2" t="s">
        <v>26</v>
      </c>
      <c r="C507" s="2" t="s">
        <v>27</v>
      </c>
      <c r="D507" s="2" t="s">
        <v>28</v>
      </c>
      <c r="E507" s="28">
        <f t="shared" ref="E507" si="636">ABS(MIN(D508:D522))</f>
        <v>0</v>
      </c>
      <c r="F507" s="26"/>
      <c r="H507" s="26"/>
      <c r="J507" s="1">
        <f t="shared" ref="J507" si="637">J503-1</f>
        <v>4</v>
      </c>
      <c r="M507" s="1" t="s">
        <v>2</v>
      </c>
      <c r="N507" s="1" t="s">
        <v>3</v>
      </c>
      <c r="O507" s="1" t="s">
        <v>4</v>
      </c>
      <c r="P507" s="1" t="s">
        <v>5</v>
      </c>
      <c r="S507" s="1">
        <f t="shared" si="625"/>
        <v>9</v>
      </c>
      <c r="T507" s="1">
        <v>242</v>
      </c>
    </row>
    <row r="508" spans="1:20" x14ac:dyDescent="0.3">
      <c r="A508" s="1">
        <f t="shared" si="569"/>
        <v>9243</v>
      </c>
      <c r="B508" s="2">
        <f t="shared" ref="B508:B522" si="638">C482-B482</f>
        <v>-0.10000000000002274</v>
      </c>
      <c r="C508" s="2">
        <f t="shared" ref="C508:C522" si="639">H482-G482</f>
        <v>0.20000000000004547</v>
      </c>
      <c r="D508" s="2">
        <f t="shared" ref="D508:D522" si="640">C508-B508</f>
        <v>0.30000000000006821</v>
      </c>
      <c r="E508" s="28">
        <f t="shared" ref="E508" si="641">ABS(MAX(D508:D522))</f>
        <v>0.5</v>
      </c>
      <c r="F508" s="26"/>
      <c r="H508" s="26"/>
      <c r="J508" s="1" t="str">
        <f t="shared" ref="J508" si="642">CONCATENATE(J507,"1")</f>
        <v>41</v>
      </c>
      <c r="M508" s="1" t="e">
        <f t="array" ref="M508:P510">LINEST($B482:$B487,$C482:$C487^{1,2,3},TRUE,TRUE)</f>
        <v>#VALUE!</v>
      </c>
      <c r="N508" s="1" t="e">
        <v>#VALUE!</v>
      </c>
      <c r="O508" s="1" t="e">
        <v>#VALUE!</v>
      </c>
      <c r="P508" s="1" t="e">
        <v>#VALUE!</v>
      </c>
      <c r="S508" s="1">
        <f t="shared" si="625"/>
        <v>9</v>
      </c>
      <c r="T508" s="1">
        <v>243</v>
      </c>
    </row>
    <row r="509" spans="1:20" x14ac:dyDescent="0.3">
      <c r="A509" s="1">
        <f t="shared" si="569"/>
        <v>9244</v>
      </c>
      <c r="B509" s="2">
        <f t="shared" si="638"/>
        <v>-0.10000000000002274</v>
      </c>
      <c r="C509" s="2">
        <f t="shared" si="639"/>
        <v>0.20000000000004547</v>
      </c>
      <c r="D509" s="2">
        <f t="shared" si="640"/>
        <v>0.30000000000006821</v>
      </c>
      <c r="E509" s="29" t="s">
        <v>32</v>
      </c>
      <c r="F509" s="26"/>
      <c r="H509" s="26"/>
      <c r="J509" s="1" t="str">
        <f t="shared" ref="J509" si="643">CONCATENATE(J507,"2")</f>
        <v>42</v>
      </c>
      <c r="M509" s="1" t="e">
        <v>#VALUE!</v>
      </c>
      <c r="N509" s="1" t="e">
        <v>#VALUE!</v>
      </c>
      <c r="O509" s="1" t="e">
        <v>#VALUE!</v>
      </c>
      <c r="P509" s="1" t="e">
        <v>#VALUE!</v>
      </c>
      <c r="S509" s="1">
        <f t="shared" si="625"/>
        <v>9</v>
      </c>
      <c r="T509" s="1">
        <v>244</v>
      </c>
    </row>
    <row r="510" spans="1:20" x14ac:dyDescent="0.3">
      <c r="A510" s="1">
        <f t="shared" si="569"/>
        <v>9245</v>
      </c>
      <c r="B510" s="2">
        <f t="shared" si="638"/>
        <v>-0.20000000000004547</v>
      </c>
      <c r="C510" s="2">
        <f t="shared" si="639"/>
        <v>0.29999999999995453</v>
      </c>
      <c r="D510" s="2">
        <f t="shared" si="640"/>
        <v>0.5</v>
      </c>
      <c r="E510" s="27">
        <f t="shared" ref="E510" si="644">IF(D468="","",MAX(E511,E512))</f>
        <v>0.20000000000004547</v>
      </c>
      <c r="F510" s="26"/>
      <c r="H510" s="26"/>
      <c r="J510" s="1" t="str">
        <f t="shared" ref="J510" si="645">CONCATENATE(J507,"3")</f>
        <v>43</v>
      </c>
      <c r="M510" s="1" t="e">
        <v>#VALUE!</v>
      </c>
      <c r="N510" s="1" t="e">
        <v>#VALUE!</v>
      </c>
      <c r="O510" s="1" t="e">
        <v>#VALUE!</v>
      </c>
      <c r="P510" s="1" t="e">
        <v>#VALUE!</v>
      </c>
      <c r="S510" s="1">
        <f t="shared" si="625"/>
        <v>9</v>
      </c>
      <c r="T510" s="1">
        <v>245</v>
      </c>
    </row>
    <row r="511" spans="1:20" x14ac:dyDescent="0.3">
      <c r="A511" s="1">
        <f t="shared" si="569"/>
        <v>9246</v>
      </c>
      <c r="B511" s="2">
        <f t="shared" si="638"/>
        <v>0</v>
      </c>
      <c r="C511" s="2">
        <f t="shared" si="639"/>
        <v>0</v>
      </c>
      <c r="D511" s="2">
        <f t="shared" si="640"/>
        <v>0</v>
      </c>
      <c r="E511" s="28">
        <f t="shared" ref="E511" si="646">ABS(MIN(B508:B522))</f>
        <v>0.20000000000004547</v>
      </c>
      <c r="F511" s="26"/>
      <c r="H511" s="26"/>
      <c r="J511" s="1">
        <f t="shared" ref="J511" si="647">J507-1</f>
        <v>3</v>
      </c>
      <c r="M511" s="1" t="s">
        <v>2</v>
      </c>
      <c r="N511" s="1" t="s">
        <v>3</v>
      </c>
      <c r="O511" s="1" t="s">
        <v>4</v>
      </c>
      <c r="P511" s="1" t="s">
        <v>5</v>
      </c>
      <c r="S511" s="1">
        <f t="shared" si="625"/>
        <v>9</v>
      </c>
      <c r="T511" s="1">
        <v>246</v>
      </c>
    </row>
    <row r="512" spans="1:20" x14ac:dyDescent="0.3">
      <c r="A512" s="1">
        <f t="shared" si="569"/>
        <v>9247</v>
      </c>
      <c r="B512" s="2">
        <f t="shared" si="638"/>
        <v>0</v>
      </c>
      <c r="C512" s="2">
        <f t="shared" si="639"/>
        <v>0</v>
      </c>
      <c r="D512" s="2">
        <f t="shared" si="640"/>
        <v>0</v>
      </c>
      <c r="E512" s="28">
        <f t="shared" ref="E512" si="648">ABS(MAX(B508:B522))</f>
        <v>0</v>
      </c>
      <c r="F512" s="26"/>
      <c r="H512" s="26"/>
      <c r="J512" s="1" t="str">
        <f t="shared" ref="J512" si="649">CONCATENATE(J511,"1")</f>
        <v>31</v>
      </c>
      <c r="M512" s="1" t="e">
        <f t="array" ref="M512:P514">LINEST($B482:$B486,$C482:$C486^{1,2,3},TRUE,TRUE)</f>
        <v>#VALUE!</v>
      </c>
      <c r="N512" s="1" t="e">
        <v>#VALUE!</v>
      </c>
      <c r="O512" s="1" t="e">
        <v>#VALUE!</v>
      </c>
      <c r="P512" s="1" t="e">
        <v>#VALUE!</v>
      </c>
      <c r="S512" s="1">
        <f t="shared" si="625"/>
        <v>9</v>
      </c>
      <c r="T512" s="1">
        <v>247</v>
      </c>
    </row>
    <row r="513" spans="1:20" x14ac:dyDescent="0.3">
      <c r="A513" s="1">
        <f t="shared" si="569"/>
        <v>9248</v>
      </c>
      <c r="B513" s="2">
        <f t="shared" si="638"/>
        <v>0</v>
      </c>
      <c r="C513" s="2">
        <f t="shared" si="639"/>
        <v>0</v>
      </c>
      <c r="D513" s="2">
        <f t="shared" si="640"/>
        <v>0</v>
      </c>
      <c r="E513" s="29" t="s">
        <v>33</v>
      </c>
      <c r="F513" s="26"/>
      <c r="J513" s="1" t="str">
        <f t="shared" ref="J513" si="650">CONCATENATE(J511,"2")</f>
        <v>32</v>
      </c>
      <c r="M513" s="1" t="e">
        <v>#VALUE!</v>
      </c>
      <c r="N513" s="1" t="e">
        <v>#VALUE!</v>
      </c>
      <c r="O513" s="1" t="e">
        <v>#VALUE!</v>
      </c>
      <c r="P513" s="1" t="e">
        <v>#VALUE!</v>
      </c>
      <c r="S513" s="1">
        <f t="shared" si="625"/>
        <v>9</v>
      </c>
      <c r="T513" s="1">
        <v>248</v>
      </c>
    </row>
    <row r="514" spans="1:20" x14ac:dyDescent="0.3">
      <c r="A514" s="1">
        <f t="shared" si="569"/>
        <v>9249</v>
      </c>
      <c r="B514" s="2">
        <f t="shared" si="638"/>
        <v>0</v>
      </c>
      <c r="C514" s="2">
        <f t="shared" si="639"/>
        <v>0</v>
      </c>
      <c r="D514" s="2">
        <f t="shared" si="640"/>
        <v>0</v>
      </c>
      <c r="E514" s="27">
        <f t="shared" ref="E514" si="651">IF(D468="","",MAX(E515,E516))</f>
        <v>0.2</v>
      </c>
      <c r="F514" s="26"/>
      <c r="J514" s="1" t="str">
        <f t="shared" ref="J514" si="652">CONCATENATE(J511,"3")</f>
        <v>33</v>
      </c>
      <c r="M514" s="1" t="e">
        <v>#VALUE!</v>
      </c>
      <c r="N514" s="1" t="e">
        <v>#VALUE!</v>
      </c>
      <c r="O514" s="1" t="e">
        <v>#VALUE!</v>
      </c>
      <c r="P514" s="1" t="e">
        <v>#VALUE!</v>
      </c>
      <c r="S514" s="1">
        <f t="shared" si="625"/>
        <v>9</v>
      </c>
      <c r="T514" s="1">
        <v>249</v>
      </c>
    </row>
    <row r="515" spans="1:20" x14ac:dyDescent="0.3">
      <c r="A515" s="1">
        <f t="shared" si="569"/>
        <v>9250</v>
      </c>
      <c r="B515" s="2">
        <f t="shared" si="638"/>
        <v>0</v>
      </c>
      <c r="C515" s="2">
        <f t="shared" si="639"/>
        <v>0</v>
      </c>
      <c r="D515" s="2">
        <f t="shared" si="640"/>
        <v>0</v>
      </c>
      <c r="E515" s="28">
        <f t="shared" ref="E515" si="653">ABS(MIN(D482:D496))</f>
        <v>0.2</v>
      </c>
      <c r="F515" s="26"/>
      <c r="J515" s="1">
        <f t="shared" ref="J515" si="654">J511-1</f>
        <v>2</v>
      </c>
      <c r="N515" s="1" t="s">
        <v>3</v>
      </c>
      <c r="O515" s="1" t="s">
        <v>4</v>
      </c>
      <c r="P515" s="1" t="s">
        <v>5</v>
      </c>
      <c r="S515" s="1">
        <f t="shared" si="625"/>
        <v>9</v>
      </c>
      <c r="T515" s="1">
        <v>250</v>
      </c>
    </row>
    <row r="516" spans="1:20" x14ac:dyDescent="0.3">
      <c r="A516" s="1">
        <f t="shared" si="569"/>
        <v>9251</v>
      </c>
      <c r="B516" s="2">
        <f t="shared" si="638"/>
        <v>0</v>
      </c>
      <c r="C516" s="2">
        <f t="shared" si="639"/>
        <v>0</v>
      </c>
      <c r="D516" s="2">
        <f t="shared" si="640"/>
        <v>0</v>
      </c>
      <c r="E516" s="28">
        <f t="shared" ref="E516" si="655">ABS(MAX(D482:D496))</f>
        <v>0.2</v>
      </c>
      <c r="F516" s="26"/>
      <c r="J516" s="1" t="str">
        <f t="shared" ref="J516" si="656">CONCATENATE(J515,"1")</f>
        <v>21</v>
      </c>
      <c r="N516" s="1" t="e">
        <f t="array" ref="N516:P518">LINEST($B482:$B485,$C482:$C485^{1,2},TRUE,TRUE)</f>
        <v>#VALUE!</v>
      </c>
      <c r="O516" s="1" t="e">
        <v>#VALUE!</v>
      </c>
      <c r="P516" s="1" t="e">
        <v>#VALUE!</v>
      </c>
      <c r="S516" s="1">
        <f t="shared" si="625"/>
        <v>9</v>
      </c>
      <c r="T516" s="1">
        <v>251</v>
      </c>
    </row>
    <row r="517" spans="1:20" x14ac:dyDescent="0.3">
      <c r="A517" s="1">
        <f t="shared" si="569"/>
        <v>9252</v>
      </c>
      <c r="B517" s="2">
        <f t="shared" si="638"/>
        <v>0</v>
      </c>
      <c r="C517" s="2">
        <f t="shared" si="639"/>
        <v>0</v>
      </c>
      <c r="D517" s="2">
        <f t="shared" si="640"/>
        <v>0</v>
      </c>
      <c r="E517" s="26"/>
      <c r="F517" s="26"/>
      <c r="J517" s="1" t="str">
        <f t="shared" ref="J517" si="657">CONCATENATE(J515,"2")</f>
        <v>22</v>
      </c>
      <c r="N517" s="1" t="e">
        <v>#VALUE!</v>
      </c>
      <c r="O517" s="1" t="e">
        <v>#VALUE!</v>
      </c>
      <c r="P517" s="1" t="e">
        <v>#VALUE!</v>
      </c>
      <c r="S517" s="1">
        <f t="shared" si="625"/>
        <v>9</v>
      </c>
      <c r="T517" s="1">
        <v>252</v>
      </c>
    </row>
    <row r="518" spans="1:20" x14ac:dyDescent="0.3">
      <c r="A518" s="1">
        <f t="shared" si="569"/>
        <v>9253</v>
      </c>
      <c r="B518" s="2">
        <f t="shared" si="638"/>
        <v>0</v>
      </c>
      <c r="C518" s="2">
        <f t="shared" si="639"/>
        <v>0</v>
      </c>
      <c r="D518" s="2">
        <f t="shared" si="640"/>
        <v>0</v>
      </c>
      <c r="E518" s="26"/>
      <c r="F518" s="26"/>
      <c r="J518" s="1" t="str">
        <f t="shared" ref="J518" si="658">CONCATENATE(J515,"3")</f>
        <v>23</v>
      </c>
      <c r="N518" s="1" t="e">
        <v>#VALUE!</v>
      </c>
      <c r="O518" s="1" t="e">
        <v>#VALUE!</v>
      </c>
      <c r="P518" s="1" t="e">
        <v>#VALUE!</v>
      </c>
      <c r="S518" s="1">
        <f t="shared" si="625"/>
        <v>9</v>
      </c>
      <c r="T518" s="1">
        <v>253</v>
      </c>
    </row>
    <row r="519" spans="1:20" x14ac:dyDescent="0.3">
      <c r="A519" s="1">
        <f t="shared" si="569"/>
        <v>9254</v>
      </c>
      <c r="B519" s="2">
        <f t="shared" si="638"/>
        <v>0</v>
      </c>
      <c r="C519" s="2">
        <f t="shared" si="639"/>
        <v>0</v>
      </c>
      <c r="D519" s="2">
        <f t="shared" si="640"/>
        <v>0</v>
      </c>
      <c r="E519" s="26"/>
      <c r="F519" s="26"/>
      <c r="J519" s="1">
        <f t="shared" ref="J519" si="659">J515-1</f>
        <v>1</v>
      </c>
      <c r="O519" s="1" t="s">
        <v>4</v>
      </c>
      <c r="P519" s="1" t="s">
        <v>5</v>
      </c>
      <c r="S519" s="1">
        <f t="shared" si="625"/>
        <v>9</v>
      </c>
      <c r="T519" s="1">
        <v>254</v>
      </c>
    </row>
    <row r="520" spans="1:20" x14ac:dyDescent="0.3">
      <c r="A520" s="1">
        <f t="shared" si="569"/>
        <v>9255</v>
      </c>
      <c r="B520" s="2">
        <f t="shared" si="638"/>
        <v>0</v>
      </c>
      <c r="C520" s="2">
        <f t="shared" si="639"/>
        <v>0</v>
      </c>
      <c r="D520" s="2">
        <f t="shared" si="640"/>
        <v>0</v>
      </c>
      <c r="E520" s="26"/>
      <c r="F520" s="26"/>
      <c r="J520" s="1" t="str">
        <f t="shared" ref="J520" si="660">CONCATENATE(J519,"1")</f>
        <v>11</v>
      </c>
      <c r="O520" s="1">
        <f t="array" ref="O520:P522">LINEST($B482:$B484,$C482:$C484^{1},TRUE,TRUE)</f>
        <v>1.0025000000000008</v>
      </c>
      <c r="P520" s="1">
        <v>-2.1916666666674018</v>
      </c>
      <c r="S520" s="1">
        <f t="shared" si="625"/>
        <v>9</v>
      </c>
      <c r="T520" s="1">
        <v>255</v>
      </c>
    </row>
    <row r="521" spans="1:20" x14ac:dyDescent="0.3">
      <c r="A521" s="1">
        <f t="shared" si="569"/>
        <v>9256</v>
      </c>
      <c r="B521" s="2">
        <f t="shared" si="638"/>
        <v>0</v>
      </c>
      <c r="C521" s="2">
        <f t="shared" si="639"/>
        <v>0</v>
      </c>
      <c r="D521" s="2">
        <f t="shared" si="640"/>
        <v>0</v>
      </c>
      <c r="E521" s="26"/>
      <c r="F521" s="26"/>
      <c r="J521" s="1" t="str">
        <f t="shared" ref="J521" si="661">CONCATENATE(J519,"2")</f>
        <v>12</v>
      </c>
      <c r="O521" s="1">
        <v>1.4433756729743037E-3</v>
      </c>
      <c r="P521" s="1">
        <v>1.3425462954982792</v>
      </c>
      <c r="S521" s="1">
        <f t="shared" si="625"/>
        <v>9</v>
      </c>
      <c r="T521" s="1">
        <v>256</v>
      </c>
    </row>
    <row r="522" spans="1:20" x14ac:dyDescent="0.3">
      <c r="A522" s="1">
        <f t="shared" si="569"/>
        <v>9257</v>
      </c>
      <c r="B522" s="2">
        <f t="shared" si="638"/>
        <v>0</v>
      </c>
      <c r="C522" s="2">
        <f t="shared" si="639"/>
        <v>0</v>
      </c>
      <c r="D522" s="2">
        <f t="shared" si="640"/>
        <v>0</v>
      </c>
      <c r="E522" s="30"/>
      <c r="F522" s="30"/>
      <c r="J522" s="1" t="str">
        <f t="shared" ref="J522" si="662">CONCATENATE(J519,"3")</f>
        <v>13</v>
      </c>
      <c r="O522" s="1">
        <v>0.99999792704869772</v>
      </c>
      <c r="P522" s="1">
        <v>4.0824829046393063E-2</v>
      </c>
      <c r="S522" s="1">
        <f t="shared" si="625"/>
        <v>9</v>
      </c>
      <c r="T522" s="1">
        <v>257</v>
      </c>
    </row>
    <row r="523" spans="1:20" s="8" customFormat="1" x14ac:dyDescent="0.3"/>
    <row r="524" spans="1:20" x14ac:dyDescent="0.3">
      <c r="A524" s="1">
        <f t="shared" ref="A524:A580" si="663">ROUND(CONCATENATE(S524,T524),0)</f>
        <v>10201</v>
      </c>
      <c r="B524" s="57" t="s">
        <v>0</v>
      </c>
      <c r="C524" s="57"/>
      <c r="D524" s="56" t="s">
        <v>46</v>
      </c>
      <c r="E524" s="56"/>
      <c r="F524" s="56"/>
      <c r="G524" s="56"/>
      <c r="H524" s="56"/>
      <c r="L524" s="1">
        <v>1</v>
      </c>
      <c r="M524" s="1">
        <v>2</v>
      </c>
      <c r="N524" s="1">
        <v>3</v>
      </c>
      <c r="O524" s="1">
        <v>4</v>
      </c>
      <c r="P524" s="1">
        <v>5</v>
      </c>
      <c r="Q524" s="1">
        <v>6</v>
      </c>
      <c r="R524" s="1">
        <v>7</v>
      </c>
      <c r="S524" s="1">
        <f t="shared" ref="S524" si="664">S522+1</f>
        <v>10</v>
      </c>
      <c r="T524" s="1">
        <v>201</v>
      </c>
    </row>
    <row r="525" spans="1:20" x14ac:dyDescent="0.3">
      <c r="A525" s="1">
        <f t="shared" si="663"/>
        <v>10202</v>
      </c>
      <c r="B525" s="57"/>
      <c r="C525" s="57"/>
      <c r="D525" s="57"/>
      <c r="E525" s="57"/>
      <c r="F525" s="57"/>
      <c r="G525" s="57"/>
      <c r="H525" s="57"/>
      <c r="K525" s="2" t="s">
        <v>1</v>
      </c>
      <c r="L525" s="2"/>
      <c r="M525" s="2" t="s">
        <v>2</v>
      </c>
      <c r="N525" s="2" t="s">
        <v>3</v>
      </c>
      <c r="O525" s="2" t="s">
        <v>4</v>
      </c>
      <c r="P525" s="2" t="s">
        <v>5</v>
      </c>
      <c r="S525" s="1">
        <f t="shared" ref="S525" si="665">S524</f>
        <v>10</v>
      </c>
      <c r="T525" s="1">
        <v>202</v>
      </c>
    </row>
    <row r="526" spans="1:20" x14ac:dyDescent="0.3">
      <c r="A526" s="1">
        <f t="shared" si="663"/>
        <v>10203</v>
      </c>
      <c r="B526" s="64" t="s">
        <v>6</v>
      </c>
      <c r="C526" s="64"/>
      <c r="D526" s="68" t="s">
        <v>111</v>
      </c>
      <c r="E526" s="69"/>
      <c r="F526" s="69"/>
      <c r="G526" s="69"/>
      <c r="H526" s="70"/>
      <c r="K526" s="3">
        <f t="shared" ref="K526" ca="1" si="666">IF(K528&gt;=3,N528,LOOKUP(15-($B555+1),M524:R524,M528:P528))</f>
        <v>0</v>
      </c>
      <c r="L526" s="2" t="str">
        <f t="shared" ref="L526" si="667">CONCATENATE($B555,"1")</f>
        <v>11</v>
      </c>
      <c r="M526" s="2">
        <f t="shared" ref="M526" si="668">VLOOKUP(L526,J529:P580,O524,FALSE)</f>
        <v>0</v>
      </c>
      <c r="N526" s="2">
        <f t="shared" ref="N526" si="669">VLOOKUP(L526,J529:P580,P524,FALSE)</f>
        <v>0</v>
      </c>
      <c r="O526" s="2">
        <f t="shared" ref="O526" si="670">VLOOKUP(L526,J529:P580,Q524,FALSE)</f>
        <v>1.0000000000000002</v>
      </c>
      <c r="P526" s="2">
        <f t="shared" ref="P526" si="671">VLOOKUP(L526,J529:P580,R524,FALSE)</f>
        <v>-2.2737367544323206E-13</v>
      </c>
      <c r="S526" s="1">
        <f t="shared" si="625"/>
        <v>10</v>
      </c>
      <c r="T526" s="1">
        <v>203</v>
      </c>
    </row>
    <row r="527" spans="1:20" x14ac:dyDescent="0.3">
      <c r="A527" s="1">
        <f t="shared" si="663"/>
        <v>10204</v>
      </c>
      <c r="B527" s="57" t="s">
        <v>7</v>
      </c>
      <c r="C527" s="57"/>
      <c r="D527" s="68" t="s">
        <v>98</v>
      </c>
      <c r="E527" s="69"/>
      <c r="F527" s="69"/>
      <c r="G527" s="69"/>
      <c r="H527" s="70"/>
      <c r="K527" s="2" t="s">
        <v>8</v>
      </c>
      <c r="L527" s="2" t="str">
        <f t="shared" ref="L527" si="672">CONCATENATE($B555,"2")</f>
        <v>12</v>
      </c>
      <c r="M527" s="2">
        <f t="shared" ref="M527" si="673">VLOOKUP(L527,J529:P580,O524,FALSE)</f>
        <v>0</v>
      </c>
      <c r="N527" s="2">
        <f t="shared" ref="N527" si="674">VLOOKUP(L527,J529:P580,P524,FALSE)</f>
        <v>0</v>
      </c>
      <c r="O527" s="2">
        <f t="shared" ref="O527" si="675">VLOOKUP(L527,J529:P580,Q524,FALSE)</f>
        <v>0</v>
      </c>
      <c r="P527" s="2">
        <f t="shared" ref="P527" si="676">VLOOKUP(L527,J529:P580,R524,FALSE)</f>
        <v>0</v>
      </c>
      <c r="S527" s="1">
        <f t="shared" si="625"/>
        <v>10</v>
      </c>
      <c r="T527" s="1">
        <v>204</v>
      </c>
    </row>
    <row r="528" spans="1:20" x14ac:dyDescent="0.3">
      <c r="A528" s="1">
        <f t="shared" si="663"/>
        <v>10205</v>
      </c>
      <c r="B528" s="57" t="s">
        <v>9</v>
      </c>
      <c r="C528" s="57"/>
      <c r="D528" s="68" t="s">
        <v>91</v>
      </c>
      <c r="E528" s="69"/>
      <c r="F528" s="69"/>
      <c r="G528" s="69"/>
      <c r="H528" s="70"/>
      <c r="K528" s="3">
        <f t="shared" ref="K528" si="677">IF(B555&gt;3,3,B555)</f>
        <v>1</v>
      </c>
      <c r="L528" s="2" t="str">
        <f t="shared" ref="L528" si="678">CONCATENATE($B555,"3")</f>
        <v>13</v>
      </c>
      <c r="M528" s="2">
        <f t="shared" ref="M528" si="679">VLOOKUP(L528,J529:P580,O524,FALSE)</f>
        <v>0</v>
      </c>
      <c r="N528" s="2">
        <f t="shared" ref="N528" si="680">VLOOKUP(L528,J529:P580,P524,FALSE)</f>
        <v>0</v>
      </c>
      <c r="O528" s="2">
        <f t="shared" ref="O528" si="681">VLOOKUP(L528,J529:P580,Q524,FALSE)</f>
        <v>1</v>
      </c>
      <c r="P528" s="2">
        <f t="shared" ref="P528" si="682">VLOOKUP(L528,J529:P580,R524,FALSE)</f>
        <v>0</v>
      </c>
      <c r="S528" s="1">
        <f t="shared" si="625"/>
        <v>10</v>
      </c>
      <c r="T528" s="1">
        <v>205</v>
      </c>
    </row>
    <row r="529" spans="1:20" x14ac:dyDescent="0.3">
      <c r="A529" s="1">
        <f t="shared" si="663"/>
        <v>10206</v>
      </c>
      <c r="B529" s="57" t="s">
        <v>10</v>
      </c>
      <c r="C529" s="57"/>
      <c r="D529" s="68" t="s">
        <v>143</v>
      </c>
      <c r="E529" s="69"/>
      <c r="F529" s="69"/>
      <c r="G529" s="69"/>
      <c r="H529" s="70"/>
      <c r="J529" s="1">
        <v>13</v>
      </c>
      <c r="M529" s="1" t="s">
        <v>2</v>
      </c>
      <c r="N529" s="1" t="s">
        <v>3</v>
      </c>
      <c r="O529" s="1" t="s">
        <v>4</v>
      </c>
      <c r="P529" s="1" t="s">
        <v>5</v>
      </c>
      <c r="S529" s="1">
        <f t="shared" si="625"/>
        <v>10</v>
      </c>
      <c r="T529" s="1">
        <v>206</v>
      </c>
    </row>
    <row r="530" spans="1:20" x14ac:dyDescent="0.3">
      <c r="A530" s="1">
        <f t="shared" si="663"/>
        <v>10207</v>
      </c>
      <c r="B530" s="57" t="s">
        <v>11</v>
      </c>
      <c r="C530" s="57"/>
      <c r="D530" s="71">
        <v>45822</v>
      </c>
      <c r="E530" s="72"/>
      <c r="F530" s="72"/>
      <c r="G530" s="72"/>
      <c r="H530" s="73"/>
      <c r="J530" s="1" t="str">
        <f t="shared" ref="J530" si="683">CONCATENATE(J529,"1")</f>
        <v>131</v>
      </c>
      <c r="M530" s="1" t="e">
        <f t="array" ref="M530:P532">LINEST($B540:$B554,$C540:$C554^{1,2,3},TRUE,TRUE)</f>
        <v>#VALUE!</v>
      </c>
      <c r="N530" s="1" t="e">
        <v>#VALUE!</v>
      </c>
      <c r="O530" s="1" t="e">
        <v>#VALUE!</v>
      </c>
      <c r="P530" s="1" t="e">
        <v>#VALUE!</v>
      </c>
      <c r="S530" s="1">
        <f t="shared" si="625"/>
        <v>10</v>
      </c>
      <c r="T530" s="1">
        <v>207</v>
      </c>
    </row>
    <row r="531" spans="1:20" x14ac:dyDescent="0.3">
      <c r="A531" s="1">
        <f t="shared" si="663"/>
        <v>10208</v>
      </c>
      <c r="B531" s="57" t="s">
        <v>12</v>
      </c>
      <c r="C531" s="57"/>
      <c r="D531" s="65">
        <v>46203</v>
      </c>
      <c r="E531" s="66"/>
      <c r="F531" s="66"/>
      <c r="G531" s="66"/>
      <c r="H531" s="67"/>
      <c r="J531" s="1" t="str">
        <f t="shared" ref="J531" si="684">CONCATENATE(J529,"2")</f>
        <v>132</v>
      </c>
      <c r="M531" s="1" t="e">
        <v>#VALUE!</v>
      </c>
      <c r="N531" s="1" t="e">
        <v>#VALUE!</v>
      </c>
      <c r="O531" s="1" t="e">
        <v>#VALUE!</v>
      </c>
      <c r="P531" s="1" t="e">
        <v>#VALUE!</v>
      </c>
      <c r="S531" s="1">
        <f t="shared" si="625"/>
        <v>10</v>
      </c>
      <c r="T531" s="1">
        <v>208</v>
      </c>
    </row>
    <row r="532" spans="1:20" x14ac:dyDescent="0.3">
      <c r="A532" s="1">
        <f t="shared" si="663"/>
        <v>10209</v>
      </c>
      <c r="B532" s="57" t="s">
        <v>13</v>
      </c>
      <c r="C532" s="57"/>
      <c r="D532" s="9">
        <v>0.1</v>
      </c>
      <c r="E532" s="54" t="s">
        <v>14</v>
      </c>
      <c r="F532" s="54"/>
      <c r="G532" s="54"/>
      <c r="H532" s="9" t="s">
        <v>59</v>
      </c>
      <c r="J532" s="1" t="str">
        <f t="shared" ref="J532" si="685">CONCATENATE(J529,"3")</f>
        <v>133</v>
      </c>
      <c r="M532" s="1" t="e">
        <v>#VALUE!</v>
      </c>
      <c r="N532" s="1" t="e">
        <v>#VALUE!</v>
      </c>
      <c r="O532" s="1" t="e">
        <v>#VALUE!</v>
      </c>
      <c r="P532" s="1" t="e">
        <v>#VALUE!</v>
      </c>
      <c r="S532" s="1">
        <f t="shared" si="625"/>
        <v>10</v>
      </c>
      <c r="T532" s="1">
        <v>209</v>
      </c>
    </row>
    <row r="533" spans="1:20" x14ac:dyDescent="0.3">
      <c r="A533" s="1">
        <f t="shared" si="663"/>
        <v>10210</v>
      </c>
      <c r="B533" s="57" t="s">
        <v>15</v>
      </c>
      <c r="C533" s="57"/>
      <c r="D533" s="2">
        <f t="shared" ref="D533" si="686">MIN(B540:B554)</f>
        <v>910</v>
      </c>
      <c r="E533" s="4" t="s">
        <v>16</v>
      </c>
      <c r="F533" s="2">
        <f t="shared" ref="F533" si="687">MAX(B540:B554)</f>
        <v>950</v>
      </c>
      <c r="G533" s="5" t="str">
        <f t="shared" ref="G533" si="688">IF(H532="","",H532)</f>
        <v>hPa</v>
      </c>
      <c r="H533" s="23"/>
      <c r="J533" s="1">
        <f t="shared" ref="J533" si="689">J529-1</f>
        <v>12</v>
      </c>
      <c r="M533" s="1" t="s">
        <v>2</v>
      </c>
      <c r="N533" s="1" t="s">
        <v>3</v>
      </c>
      <c r="O533" s="1" t="s">
        <v>4</v>
      </c>
      <c r="P533" s="1" t="s">
        <v>5</v>
      </c>
      <c r="S533" s="1">
        <f t="shared" si="625"/>
        <v>10</v>
      </c>
      <c r="T533" s="1">
        <v>210</v>
      </c>
    </row>
    <row r="534" spans="1:20" x14ac:dyDescent="0.3">
      <c r="A534" s="1">
        <f t="shared" si="663"/>
        <v>10211</v>
      </c>
      <c r="J534" s="1" t="str">
        <f t="shared" ref="J534" si="690">CONCATENATE(J533,"1")</f>
        <v>121</v>
      </c>
      <c r="M534" s="1" t="e">
        <f t="array" ref="M534:P536">LINEST($B540:$B553,$C540:$C553^{1,2,3},TRUE,TRUE)</f>
        <v>#VALUE!</v>
      </c>
      <c r="N534" s="1" t="e">
        <v>#VALUE!</v>
      </c>
      <c r="O534" s="1" t="e">
        <v>#VALUE!</v>
      </c>
      <c r="P534" s="1" t="e">
        <v>#VALUE!</v>
      </c>
      <c r="S534" s="1">
        <f t="shared" si="625"/>
        <v>10</v>
      </c>
      <c r="T534" s="1">
        <v>211</v>
      </c>
    </row>
    <row r="535" spans="1:20" x14ac:dyDescent="0.3">
      <c r="A535" s="1">
        <f t="shared" si="663"/>
        <v>10212</v>
      </c>
      <c r="B535" s="59" t="s">
        <v>17</v>
      </c>
      <c r="C535" s="59"/>
      <c r="D535" s="59"/>
      <c r="E535" s="59"/>
      <c r="F535" s="59"/>
      <c r="G535" s="60" t="s">
        <v>29</v>
      </c>
      <c r="H535" s="61"/>
      <c r="J535" s="1" t="str">
        <f t="shared" ref="J535" si="691">CONCATENATE(J533,"2")</f>
        <v>122</v>
      </c>
      <c r="M535" s="1" t="e">
        <v>#VALUE!</v>
      </c>
      <c r="N535" s="1" t="e">
        <v>#VALUE!</v>
      </c>
      <c r="O535" s="1" t="e">
        <v>#VALUE!</v>
      </c>
      <c r="P535" s="1" t="e">
        <v>#VALUE!</v>
      </c>
      <c r="S535" s="1">
        <f t="shared" si="625"/>
        <v>10</v>
      </c>
      <c r="T535" s="1">
        <v>212</v>
      </c>
    </row>
    <row r="536" spans="1:20" x14ac:dyDescent="0.3">
      <c r="A536" s="1">
        <f t="shared" si="663"/>
        <v>10213</v>
      </c>
      <c r="B536" s="54" t="s">
        <v>18</v>
      </c>
      <c r="C536" s="54"/>
      <c r="D536" s="54"/>
      <c r="E536" s="54" t="str">
        <f t="shared" ref="E536" si="692">IF(D529="","",D529)</f>
        <v>E0398B/25</v>
      </c>
      <c r="F536" s="54"/>
      <c r="G536" s="5" t="s">
        <v>18</v>
      </c>
      <c r="H536" s="33" t="s">
        <v>101</v>
      </c>
      <c r="J536" s="1" t="str">
        <f t="shared" ref="J536" si="693">CONCATENATE(J533,"3")</f>
        <v>123</v>
      </c>
      <c r="M536" s="1" t="e">
        <v>#VALUE!</v>
      </c>
      <c r="N536" s="1" t="e">
        <v>#VALUE!</v>
      </c>
      <c r="O536" s="1" t="e">
        <v>#VALUE!</v>
      </c>
      <c r="P536" s="1" t="e">
        <v>#VALUE!</v>
      </c>
      <c r="S536" s="1">
        <f t="shared" si="625"/>
        <v>10</v>
      </c>
      <c r="T536" s="1">
        <v>213</v>
      </c>
    </row>
    <row r="537" spans="1:20" ht="15" customHeight="1" x14ac:dyDescent="0.3">
      <c r="A537" s="1">
        <f t="shared" si="663"/>
        <v>10214</v>
      </c>
      <c r="B537" s="6" t="s">
        <v>19</v>
      </c>
      <c r="C537" s="6" t="s">
        <v>20</v>
      </c>
      <c r="D537" s="6" t="s">
        <v>21</v>
      </c>
      <c r="E537" s="6"/>
      <c r="F537" s="55" t="s">
        <v>31</v>
      </c>
      <c r="G537" s="6" t="s">
        <v>19</v>
      </c>
      <c r="H537" s="6" t="s">
        <v>20</v>
      </c>
      <c r="J537" s="1">
        <f t="shared" ref="J537" si="694">J533-1</f>
        <v>11</v>
      </c>
      <c r="M537" s="1" t="s">
        <v>2</v>
      </c>
      <c r="N537" s="1" t="s">
        <v>3</v>
      </c>
      <c r="O537" s="1" t="s">
        <v>4</v>
      </c>
      <c r="P537" s="1" t="s">
        <v>5</v>
      </c>
      <c r="S537" s="1">
        <f t="shared" si="625"/>
        <v>10</v>
      </c>
      <c r="T537" s="1">
        <v>214</v>
      </c>
    </row>
    <row r="538" spans="1:20" x14ac:dyDescent="0.3">
      <c r="A538" s="1">
        <f t="shared" si="663"/>
        <v>10215</v>
      </c>
      <c r="B538" s="6" t="s">
        <v>22</v>
      </c>
      <c r="C538" s="6" t="s">
        <v>23</v>
      </c>
      <c r="D538" s="6" t="s">
        <v>24</v>
      </c>
      <c r="E538" s="6" t="s">
        <v>30</v>
      </c>
      <c r="F538" s="55"/>
      <c r="G538" s="6" t="s">
        <v>22</v>
      </c>
      <c r="H538" s="6" t="s">
        <v>23</v>
      </c>
      <c r="J538" s="1" t="str">
        <f t="shared" ref="J538" si="695">CONCATENATE(J537,"1")</f>
        <v>111</v>
      </c>
      <c r="M538" s="1" t="e">
        <f t="array" ref="M538:P540">LINEST($B540:$B552,$C540:$C552^{1,2,3},TRUE,TRUE)</f>
        <v>#VALUE!</v>
      </c>
      <c r="N538" s="1" t="e">
        <v>#VALUE!</v>
      </c>
      <c r="O538" s="1" t="e">
        <v>#VALUE!</v>
      </c>
      <c r="P538" s="1" t="e">
        <v>#VALUE!</v>
      </c>
      <c r="S538" s="1">
        <f t="shared" si="625"/>
        <v>10</v>
      </c>
      <c r="T538" s="1">
        <v>215</v>
      </c>
    </row>
    <row r="539" spans="1:20" x14ac:dyDescent="0.3">
      <c r="A539" s="1">
        <f t="shared" si="663"/>
        <v>10216</v>
      </c>
      <c r="B539" s="7" t="str">
        <f t="shared" ref="B539" si="696">IF(H532="","",H532)</f>
        <v>hPa</v>
      </c>
      <c r="C539" s="7" t="str">
        <f t="shared" ref="C539" si="697">IF(H532="","",H532)</f>
        <v>hPa</v>
      </c>
      <c r="D539" s="7" t="str">
        <f t="shared" ref="D539" si="698">IF(H532="","",H532)</f>
        <v>hPa</v>
      </c>
      <c r="E539" s="7"/>
      <c r="F539" s="7" t="str">
        <f t="shared" ref="F539" si="699">IF(I532="","",I532)</f>
        <v/>
      </c>
      <c r="G539" s="7" t="str">
        <f t="shared" ref="G539" si="700">IF(H532="","",H532)</f>
        <v>hPa</v>
      </c>
      <c r="H539" s="7" t="str">
        <f t="shared" ref="H539" si="701">IF(H532="","",H532)</f>
        <v>hPa</v>
      </c>
      <c r="J539" s="1" t="str">
        <f t="shared" ref="J539" si="702">CONCATENATE(J537,"2")</f>
        <v>112</v>
      </c>
      <c r="M539" s="1" t="e">
        <v>#VALUE!</v>
      </c>
      <c r="N539" s="1" t="e">
        <v>#VALUE!</v>
      </c>
      <c r="O539" s="1" t="e">
        <v>#VALUE!</v>
      </c>
      <c r="P539" s="1" t="e">
        <v>#VALUE!</v>
      </c>
      <c r="S539" s="1">
        <f t="shared" si="625"/>
        <v>10</v>
      </c>
      <c r="T539" s="1">
        <v>216</v>
      </c>
    </row>
    <row r="540" spans="1:20" x14ac:dyDescent="0.3">
      <c r="A540" s="1">
        <f t="shared" si="663"/>
        <v>10217</v>
      </c>
      <c r="B540" s="24">
        <v>910</v>
      </c>
      <c r="C540" s="24">
        <v>910</v>
      </c>
      <c r="D540" s="24">
        <v>0.2</v>
      </c>
      <c r="E540" s="24">
        <v>2</v>
      </c>
      <c r="F540" s="24">
        <v>1000000</v>
      </c>
      <c r="G540" s="25">
        <v>910</v>
      </c>
      <c r="H540" s="25">
        <v>910</v>
      </c>
      <c r="J540" s="1" t="str">
        <f t="shared" ref="J540" si="703">CONCATENATE(J537,"3")</f>
        <v>113</v>
      </c>
      <c r="M540" s="1" t="e">
        <v>#VALUE!</v>
      </c>
      <c r="N540" s="1" t="e">
        <v>#VALUE!</v>
      </c>
      <c r="O540" s="1" t="e">
        <v>#VALUE!</v>
      </c>
      <c r="P540" s="1" t="e">
        <v>#VALUE!</v>
      </c>
      <c r="S540" s="1">
        <f t="shared" si="625"/>
        <v>10</v>
      </c>
      <c r="T540" s="1">
        <v>217</v>
      </c>
    </row>
    <row r="541" spans="1:20" x14ac:dyDescent="0.3">
      <c r="A541" s="1">
        <f t="shared" si="663"/>
        <v>10218</v>
      </c>
      <c r="B541" s="24">
        <v>930</v>
      </c>
      <c r="C541" s="24">
        <v>930</v>
      </c>
      <c r="D541" s="24">
        <v>0.2</v>
      </c>
      <c r="E541" s="24">
        <v>2</v>
      </c>
      <c r="F541" s="24">
        <v>1000000</v>
      </c>
      <c r="G541" s="25">
        <v>930</v>
      </c>
      <c r="H541" s="25">
        <v>930</v>
      </c>
      <c r="J541" s="1">
        <f t="shared" ref="J541" si="704">J537-1</f>
        <v>10</v>
      </c>
      <c r="M541" s="1" t="s">
        <v>2</v>
      </c>
      <c r="N541" s="1" t="s">
        <v>3</v>
      </c>
      <c r="O541" s="1" t="s">
        <v>4</v>
      </c>
      <c r="P541" s="1" t="s">
        <v>5</v>
      </c>
      <c r="S541" s="1">
        <f t="shared" si="625"/>
        <v>10</v>
      </c>
      <c r="T541" s="1">
        <v>218</v>
      </c>
    </row>
    <row r="542" spans="1:20" x14ac:dyDescent="0.3">
      <c r="A542" s="1">
        <f t="shared" si="663"/>
        <v>10219</v>
      </c>
      <c r="B542" s="24">
        <v>950</v>
      </c>
      <c r="C542" s="24">
        <v>950</v>
      </c>
      <c r="D542" s="24">
        <v>0.2</v>
      </c>
      <c r="E542" s="24">
        <v>2</v>
      </c>
      <c r="F542" s="24">
        <v>1000000</v>
      </c>
      <c r="G542" s="25">
        <v>950</v>
      </c>
      <c r="H542" s="25">
        <v>950</v>
      </c>
      <c r="J542" s="1" t="str">
        <f t="shared" ref="J542" si="705">CONCATENATE(J541,"1")</f>
        <v>101</v>
      </c>
      <c r="M542" s="1" t="e">
        <f t="array" ref="M542:P544">LINEST($B540:$B551,$C540:$C551^{1,2,3},TRUE,TRUE)</f>
        <v>#VALUE!</v>
      </c>
      <c r="N542" s="1" t="e">
        <v>#VALUE!</v>
      </c>
      <c r="O542" s="1" t="e">
        <v>#VALUE!</v>
      </c>
      <c r="P542" s="1" t="e">
        <v>#VALUE!</v>
      </c>
      <c r="S542" s="1">
        <f t="shared" si="625"/>
        <v>10</v>
      </c>
      <c r="T542" s="1">
        <v>219</v>
      </c>
    </row>
    <row r="543" spans="1:20" x14ac:dyDescent="0.3">
      <c r="A543" s="1">
        <f t="shared" si="663"/>
        <v>10220</v>
      </c>
      <c r="B543" s="24"/>
      <c r="C543" s="24"/>
      <c r="D543" s="24"/>
      <c r="E543" s="24"/>
      <c r="F543" s="24"/>
      <c r="G543" s="25"/>
      <c r="H543" s="25"/>
      <c r="J543" s="1" t="str">
        <f t="shared" ref="J543" si="706">CONCATENATE(J541,"2")</f>
        <v>102</v>
      </c>
      <c r="M543" s="1" t="e">
        <v>#VALUE!</v>
      </c>
      <c r="N543" s="1" t="e">
        <v>#VALUE!</v>
      </c>
      <c r="O543" s="1" t="e">
        <v>#VALUE!</v>
      </c>
      <c r="P543" s="1" t="e">
        <v>#VALUE!</v>
      </c>
      <c r="S543" s="1">
        <f t="shared" si="625"/>
        <v>10</v>
      </c>
      <c r="T543" s="1">
        <v>220</v>
      </c>
    </row>
    <row r="544" spans="1:20" x14ac:dyDescent="0.3">
      <c r="A544" s="1">
        <f t="shared" si="663"/>
        <v>10221</v>
      </c>
      <c r="B544" s="24"/>
      <c r="C544" s="24"/>
      <c r="D544" s="24"/>
      <c r="E544" s="24"/>
      <c r="F544" s="24"/>
      <c r="G544" s="25"/>
      <c r="H544" s="25"/>
      <c r="J544" s="1" t="str">
        <f t="shared" ref="J544" si="707">CONCATENATE(J541,"3")</f>
        <v>103</v>
      </c>
      <c r="M544" s="1" t="e">
        <v>#VALUE!</v>
      </c>
      <c r="N544" s="1" t="e">
        <v>#VALUE!</v>
      </c>
      <c r="O544" s="1" t="e">
        <v>#VALUE!</v>
      </c>
      <c r="P544" s="1" t="e">
        <v>#VALUE!</v>
      </c>
      <c r="S544" s="1">
        <f t="shared" si="625"/>
        <v>10</v>
      </c>
      <c r="T544" s="1">
        <v>221</v>
      </c>
    </row>
    <row r="545" spans="1:20" x14ac:dyDescent="0.3">
      <c r="A545" s="1">
        <f t="shared" si="663"/>
        <v>10222</v>
      </c>
      <c r="B545" s="24"/>
      <c r="C545" s="24"/>
      <c r="D545" s="24"/>
      <c r="E545" s="24"/>
      <c r="F545" s="24"/>
      <c r="G545" s="25"/>
      <c r="H545" s="25"/>
      <c r="J545" s="1">
        <f t="shared" ref="J545" si="708">J541-1</f>
        <v>9</v>
      </c>
      <c r="M545" s="1" t="s">
        <v>2</v>
      </c>
      <c r="N545" s="1" t="s">
        <v>3</v>
      </c>
      <c r="O545" s="1" t="s">
        <v>4</v>
      </c>
      <c r="P545" s="1" t="s">
        <v>5</v>
      </c>
      <c r="S545" s="1">
        <f t="shared" si="625"/>
        <v>10</v>
      </c>
      <c r="T545" s="1">
        <v>222</v>
      </c>
    </row>
    <row r="546" spans="1:20" x14ac:dyDescent="0.3">
      <c r="A546" s="1">
        <f t="shared" si="663"/>
        <v>10223</v>
      </c>
      <c r="B546" s="24"/>
      <c r="C546" s="24"/>
      <c r="D546" s="24"/>
      <c r="E546" s="24"/>
      <c r="F546" s="24"/>
      <c r="G546" s="25"/>
      <c r="H546" s="25"/>
      <c r="J546" s="1" t="str">
        <f t="shared" ref="J546" si="709">CONCATENATE(J545,"1")</f>
        <v>91</v>
      </c>
      <c r="M546" s="1" t="e">
        <f t="array" ref="M546:P548">LINEST($B540:$B550,$C540:$C550^{1,2,3},TRUE,TRUE)</f>
        <v>#VALUE!</v>
      </c>
      <c r="N546" s="1" t="e">
        <v>#VALUE!</v>
      </c>
      <c r="O546" s="1" t="e">
        <v>#VALUE!</v>
      </c>
      <c r="P546" s="1" t="e">
        <v>#VALUE!</v>
      </c>
      <c r="S546" s="1">
        <f t="shared" si="625"/>
        <v>10</v>
      </c>
      <c r="T546" s="1">
        <v>223</v>
      </c>
    </row>
    <row r="547" spans="1:20" x14ac:dyDescent="0.3">
      <c r="A547" s="1">
        <f t="shared" si="663"/>
        <v>10224</v>
      </c>
      <c r="B547" s="24"/>
      <c r="C547" s="24"/>
      <c r="D547" s="24"/>
      <c r="E547" s="24"/>
      <c r="F547" s="24"/>
      <c r="G547" s="25"/>
      <c r="H547" s="25"/>
      <c r="J547" s="1" t="str">
        <f t="shared" ref="J547" si="710">CONCATENATE(J545,"2")</f>
        <v>92</v>
      </c>
      <c r="M547" s="1" t="e">
        <v>#VALUE!</v>
      </c>
      <c r="N547" s="1" t="e">
        <v>#VALUE!</v>
      </c>
      <c r="O547" s="1" t="e">
        <v>#VALUE!</v>
      </c>
      <c r="P547" s="1" t="e">
        <v>#VALUE!</v>
      </c>
      <c r="S547" s="1">
        <f t="shared" si="625"/>
        <v>10</v>
      </c>
      <c r="T547" s="1">
        <v>224</v>
      </c>
    </row>
    <row r="548" spans="1:20" x14ac:dyDescent="0.3">
      <c r="A548" s="1">
        <f t="shared" si="663"/>
        <v>10225</v>
      </c>
      <c r="B548" s="24"/>
      <c r="C548" s="24"/>
      <c r="D548" s="24"/>
      <c r="E548" s="24"/>
      <c r="F548" s="24"/>
      <c r="G548" s="25"/>
      <c r="H548" s="25"/>
      <c r="J548" s="1" t="str">
        <f t="shared" ref="J548" si="711">CONCATENATE(J545,"3")</f>
        <v>93</v>
      </c>
      <c r="M548" s="1" t="e">
        <v>#VALUE!</v>
      </c>
      <c r="N548" s="1" t="e">
        <v>#VALUE!</v>
      </c>
      <c r="O548" s="1" t="e">
        <v>#VALUE!</v>
      </c>
      <c r="P548" s="1" t="e">
        <v>#VALUE!</v>
      </c>
      <c r="S548" s="1">
        <f t="shared" si="625"/>
        <v>10</v>
      </c>
      <c r="T548" s="1">
        <v>225</v>
      </c>
    </row>
    <row r="549" spans="1:20" x14ac:dyDescent="0.3">
      <c r="A549" s="1">
        <f t="shared" si="663"/>
        <v>10226</v>
      </c>
      <c r="B549" s="24"/>
      <c r="C549" s="24"/>
      <c r="D549" s="24"/>
      <c r="E549" s="24"/>
      <c r="F549" s="24"/>
      <c r="G549" s="25"/>
      <c r="H549" s="25"/>
      <c r="J549" s="1">
        <f t="shared" ref="J549" si="712">J545-1</f>
        <v>8</v>
      </c>
      <c r="M549" s="1" t="s">
        <v>2</v>
      </c>
      <c r="N549" s="1" t="s">
        <v>3</v>
      </c>
      <c r="O549" s="1" t="s">
        <v>4</v>
      </c>
      <c r="P549" s="1" t="s">
        <v>5</v>
      </c>
      <c r="S549" s="1">
        <f t="shared" si="625"/>
        <v>10</v>
      </c>
      <c r="T549" s="1">
        <v>226</v>
      </c>
    </row>
    <row r="550" spans="1:20" x14ac:dyDescent="0.3">
      <c r="A550" s="1">
        <f t="shared" si="663"/>
        <v>10227</v>
      </c>
      <c r="B550" s="24"/>
      <c r="C550" s="24"/>
      <c r="D550" s="24"/>
      <c r="E550" s="24"/>
      <c r="F550" s="24"/>
      <c r="G550" s="25"/>
      <c r="H550" s="25"/>
      <c r="J550" s="1" t="str">
        <f t="shared" ref="J550" si="713">CONCATENATE(J549,"1")</f>
        <v>81</v>
      </c>
      <c r="M550" s="1" t="e">
        <f t="array" ref="M550:P552">LINEST($B540:$B549,$C540:$C549^{1,2,3},TRUE,TRUE)</f>
        <v>#VALUE!</v>
      </c>
      <c r="N550" s="1" t="e">
        <v>#VALUE!</v>
      </c>
      <c r="O550" s="1" t="e">
        <v>#VALUE!</v>
      </c>
      <c r="P550" s="1" t="e">
        <v>#VALUE!</v>
      </c>
      <c r="S550" s="1">
        <f t="shared" si="625"/>
        <v>10</v>
      </c>
      <c r="T550" s="1">
        <v>227</v>
      </c>
    </row>
    <row r="551" spans="1:20" x14ac:dyDescent="0.3">
      <c r="A551" s="1">
        <f t="shared" si="663"/>
        <v>10228</v>
      </c>
      <c r="B551" s="24"/>
      <c r="C551" s="24"/>
      <c r="D551" s="24"/>
      <c r="E551" s="24"/>
      <c r="F551" s="24"/>
      <c r="G551" s="25"/>
      <c r="H551" s="25"/>
      <c r="J551" s="1" t="str">
        <f t="shared" ref="J551" si="714">CONCATENATE(J549,"2")</f>
        <v>82</v>
      </c>
      <c r="M551" s="1" t="e">
        <v>#VALUE!</v>
      </c>
      <c r="N551" s="1" t="e">
        <v>#VALUE!</v>
      </c>
      <c r="O551" s="1" t="e">
        <v>#VALUE!</v>
      </c>
      <c r="P551" s="1" t="e">
        <v>#VALUE!</v>
      </c>
      <c r="S551" s="1">
        <f t="shared" si="625"/>
        <v>10</v>
      </c>
      <c r="T551" s="1">
        <v>228</v>
      </c>
    </row>
    <row r="552" spans="1:20" x14ac:dyDescent="0.3">
      <c r="A552" s="1">
        <f t="shared" si="663"/>
        <v>10229</v>
      </c>
      <c r="B552" s="24"/>
      <c r="C552" s="24"/>
      <c r="D552" s="24"/>
      <c r="E552" s="24"/>
      <c r="F552" s="24"/>
      <c r="G552" s="25"/>
      <c r="H552" s="25"/>
      <c r="J552" s="1" t="str">
        <f t="shared" ref="J552" si="715">CONCATENATE(J549,"3")</f>
        <v>83</v>
      </c>
      <c r="M552" s="1" t="e">
        <v>#VALUE!</v>
      </c>
      <c r="N552" s="1" t="e">
        <v>#VALUE!</v>
      </c>
      <c r="O552" s="1" t="e">
        <v>#VALUE!</v>
      </c>
      <c r="P552" s="1" t="e">
        <v>#VALUE!</v>
      </c>
      <c r="S552" s="1">
        <f t="shared" si="625"/>
        <v>10</v>
      </c>
      <c r="T552" s="1">
        <v>229</v>
      </c>
    </row>
    <row r="553" spans="1:20" x14ac:dyDescent="0.3">
      <c r="A553" s="1">
        <f t="shared" si="663"/>
        <v>10230</v>
      </c>
      <c r="B553" s="24"/>
      <c r="C553" s="24"/>
      <c r="D553" s="24"/>
      <c r="E553" s="24"/>
      <c r="F553" s="24"/>
      <c r="G553" s="25"/>
      <c r="H553" s="25"/>
      <c r="J553" s="1">
        <f t="shared" ref="J553" si="716">J549-1</f>
        <v>7</v>
      </c>
      <c r="M553" s="1" t="s">
        <v>2</v>
      </c>
      <c r="N553" s="1" t="s">
        <v>3</v>
      </c>
      <c r="O553" s="1" t="s">
        <v>4</v>
      </c>
      <c r="P553" s="1" t="s">
        <v>5</v>
      </c>
      <c r="S553" s="1">
        <f t="shared" si="625"/>
        <v>10</v>
      </c>
      <c r="T553" s="1">
        <v>230</v>
      </c>
    </row>
    <row r="554" spans="1:20" x14ac:dyDescent="0.3">
      <c r="A554" s="1">
        <f t="shared" si="663"/>
        <v>10231</v>
      </c>
      <c r="B554" s="24"/>
      <c r="C554" s="24"/>
      <c r="D554" s="24"/>
      <c r="E554" s="24"/>
      <c r="F554" s="24"/>
      <c r="G554" s="25"/>
      <c r="H554" s="25"/>
      <c r="J554" s="1" t="str">
        <f t="shared" ref="J554" si="717">CONCATENATE(J553,"1")</f>
        <v>71</v>
      </c>
      <c r="M554" s="1" t="e">
        <f t="array" ref="M554:P556">LINEST($B540:$B548,$C540:$C548^{1,2,3},TRUE,TRUE)</f>
        <v>#VALUE!</v>
      </c>
      <c r="N554" s="1" t="e">
        <v>#VALUE!</v>
      </c>
      <c r="O554" s="1" t="e">
        <v>#VALUE!</v>
      </c>
      <c r="P554" s="1" t="e">
        <v>#VALUE!</v>
      </c>
      <c r="S554" s="1">
        <f t="shared" si="625"/>
        <v>10</v>
      </c>
      <c r="T554" s="1">
        <v>231</v>
      </c>
    </row>
    <row r="555" spans="1:20" x14ac:dyDescent="0.3">
      <c r="A555" s="1">
        <f t="shared" si="663"/>
        <v>10232</v>
      </c>
      <c r="B555" s="2">
        <f t="shared" ref="B555" si="718">COUNT(B540:B554)-2</f>
        <v>1</v>
      </c>
      <c r="J555" s="1" t="str">
        <f t="shared" ref="J555" si="719">CONCATENATE(J553,"2")</f>
        <v>72</v>
      </c>
      <c r="M555" s="1" t="e">
        <v>#VALUE!</v>
      </c>
      <c r="N555" s="1" t="e">
        <v>#VALUE!</v>
      </c>
      <c r="O555" s="1" t="e">
        <v>#VALUE!</v>
      </c>
      <c r="P555" s="1" t="e">
        <v>#VALUE!</v>
      </c>
      <c r="S555" s="1">
        <f t="shared" si="625"/>
        <v>10</v>
      </c>
      <c r="T555" s="1">
        <v>232</v>
      </c>
    </row>
    <row r="556" spans="1:20" x14ac:dyDescent="0.3">
      <c r="A556" s="1">
        <f t="shared" si="663"/>
        <v>10233</v>
      </c>
      <c r="J556" s="1" t="str">
        <f t="shared" ref="J556" si="720">CONCATENATE(J553,"3")</f>
        <v>73</v>
      </c>
      <c r="M556" s="1" t="e">
        <v>#VALUE!</v>
      </c>
      <c r="N556" s="1" t="e">
        <v>#VALUE!</v>
      </c>
      <c r="O556" s="1" t="e">
        <v>#VALUE!</v>
      </c>
      <c r="P556" s="1" t="e">
        <v>#VALUE!</v>
      </c>
      <c r="S556" s="1">
        <f t="shared" si="625"/>
        <v>10</v>
      </c>
      <c r="T556" s="1">
        <v>233</v>
      </c>
    </row>
    <row r="557" spans="1:20" x14ac:dyDescent="0.3">
      <c r="A557" s="1">
        <f t="shared" si="663"/>
        <v>10234</v>
      </c>
      <c r="B557" s="54" t="s">
        <v>25</v>
      </c>
      <c r="C557" s="54"/>
      <c r="D557" s="54"/>
      <c r="E557" s="54"/>
      <c r="F557" s="54"/>
      <c r="G557" s="54"/>
      <c r="H557" s="54"/>
      <c r="J557" s="1">
        <f t="shared" ref="J557" si="721">J553-1</f>
        <v>6</v>
      </c>
      <c r="M557" s="1" t="s">
        <v>2</v>
      </c>
      <c r="N557" s="1" t="s">
        <v>3</v>
      </c>
      <c r="O557" s="1" t="s">
        <v>4</v>
      </c>
      <c r="P557" s="1" t="s">
        <v>5</v>
      </c>
      <c r="S557" s="1">
        <f t="shared" si="625"/>
        <v>10</v>
      </c>
      <c r="T557" s="1">
        <v>234</v>
      </c>
    </row>
    <row r="558" spans="1:20" x14ac:dyDescent="0.3">
      <c r="A558" s="1">
        <f t="shared" si="663"/>
        <v>10235</v>
      </c>
      <c r="B558" s="56"/>
      <c r="C558" s="56"/>
      <c r="D558" s="56"/>
      <c r="E558" s="56"/>
      <c r="F558" s="56"/>
      <c r="G558" s="56"/>
      <c r="H558" s="56"/>
      <c r="J558" s="1" t="str">
        <f t="shared" ref="J558" si="722">CONCATENATE(J557,"1")</f>
        <v>61</v>
      </c>
      <c r="M558" s="1" t="e">
        <f t="array" ref="M558:P560">LINEST($B540:$B547,$C540:$C547^{1,2,3},TRUE,TRUE)</f>
        <v>#VALUE!</v>
      </c>
      <c r="N558" s="1" t="e">
        <v>#VALUE!</v>
      </c>
      <c r="O558" s="1" t="e">
        <v>#VALUE!</v>
      </c>
      <c r="P558" s="1" t="e">
        <v>#VALUE!</v>
      </c>
      <c r="S558" s="1">
        <f t="shared" si="625"/>
        <v>10</v>
      </c>
      <c r="T558" s="1">
        <v>235</v>
      </c>
    </row>
    <row r="559" spans="1:20" x14ac:dyDescent="0.3">
      <c r="A559" s="1">
        <f t="shared" si="663"/>
        <v>10236</v>
      </c>
      <c r="B559" s="56"/>
      <c r="C559" s="56"/>
      <c r="D559" s="56"/>
      <c r="E559" s="56"/>
      <c r="F559" s="56"/>
      <c r="G559" s="56"/>
      <c r="H559" s="56"/>
      <c r="J559" s="1" t="str">
        <f t="shared" ref="J559" si="723">CONCATENATE(J557,"2")</f>
        <v>62</v>
      </c>
      <c r="M559" s="1" t="e">
        <v>#VALUE!</v>
      </c>
      <c r="N559" s="1" t="e">
        <v>#VALUE!</v>
      </c>
      <c r="O559" s="1" t="e">
        <v>#VALUE!</v>
      </c>
      <c r="P559" s="1" t="e">
        <v>#VALUE!</v>
      </c>
      <c r="S559" s="1">
        <f t="shared" si="625"/>
        <v>10</v>
      </c>
      <c r="T559" s="1">
        <v>236</v>
      </c>
    </row>
    <row r="560" spans="1:20" x14ac:dyDescent="0.3">
      <c r="A560" s="1">
        <f t="shared" si="663"/>
        <v>10237</v>
      </c>
      <c r="J560" s="1" t="str">
        <f t="shared" ref="J560" si="724">CONCATENATE(J557,"3")</f>
        <v>63</v>
      </c>
      <c r="M560" s="1" t="e">
        <v>#VALUE!</v>
      </c>
      <c r="N560" s="1" t="e">
        <v>#VALUE!</v>
      </c>
      <c r="O560" s="1" t="e">
        <v>#VALUE!</v>
      </c>
      <c r="P560" s="1" t="e">
        <v>#VALUE!</v>
      </c>
      <c r="S560" s="1">
        <f t="shared" si="625"/>
        <v>10</v>
      </c>
      <c r="T560" s="1">
        <v>237</v>
      </c>
    </row>
    <row r="561" spans="1:20" ht="15" customHeight="1" x14ac:dyDescent="0.3">
      <c r="A561" s="1">
        <f t="shared" si="663"/>
        <v>10238</v>
      </c>
      <c r="J561" s="1">
        <f t="shared" ref="J561" si="725">J557-1</f>
        <v>5</v>
      </c>
      <c r="M561" s="1" t="s">
        <v>2</v>
      </c>
      <c r="N561" s="1" t="s">
        <v>3</v>
      </c>
      <c r="O561" s="1" t="s">
        <v>4</v>
      </c>
      <c r="P561" s="1" t="s">
        <v>5</v>
      </c>
      <c r="S561" s="1">
        <f t="shared" ref="S561:S624" si="726">S560</f>
        <v>10</v>
      </c>
      <c r="T561" s="1">
        <v>238</v>
      </c>
    </row>
    <row r="562" spans="1:20" x14ac:dyDescent="0.3">
      <c r="A562" s="1">
        <f t="shared" si="663"/>
        <v>10239</v>
      </c>
      <c r="J562" s="1" t="str">
        <f t="shared" ref="J562" si="727">CONCATENATE(J561,"1")</f>
        <v>51</v>
      </c>
      <c r="M562" s="1" t="e">
        <f t="array" ref="M562:P564">LINEST($B540:$B546,$C540:$C546^{1,2,3},TRUE,TRUE)</f>
        <v>#VALUE!</v>
      </c>
      <c r="N562" s="1" t="e">
        <v>#VALUE!</v>
      </c>
      <c r="O562" s="1" t="e">
        <v>#VALUE!</v>
      </c>
      <c r="P562" s="1" t="e">
        <v>#VALUE!</v>
      </c>
      <c r="S562" s="1">
        <f t="shared" si="726"/>
        <v>10</v>
      </c>
      <c r="T562" s="1">
        <v>239</v>
      </c>
    </row>
    <row r="563" spans="1:20" x14ac:dyDescent="0.3">
      <c r="A563" s="1">
        <f t="shared" si="663"/>
        <v>10240</v>
      </c>
      <c r="E563" s="26"/>
      <c r="F563" s="26"/>
      <c r="G563" s="26"/>
      <c r="H563" s="26"/>
      <c r="J563" s="1" t="str">
        <f t="shared" ref="J563" si="728">CONCATENATE(J561,"2")</f>
        <v>52</v>
      </c>
      <c r="M563" s="1" t="e">
        <v>#VALUE!</v>
      </c>
      <c r="N563" s="1" t="e">
        <v>#VALUE!</v>
      </c>
      <c r="O563" s="1" t="e">
        <v>#VALUE!</v>
      </c>
      <c r="P563" s="1" t="e">
        <v>#VALUE!</v>
      </c>
      <c r="S563" s="1">
        <f t="shared" si="726"/>
        <v>10</v>
      </c>
      <c r="T563" s="1">
        <v>240</v>
      </c>
    </row>
    <row r="564" spans="1:20" x14ac:dyDescent="0.3">
      <c r="A564" s="1">
        <f t="shared" si="663"/>
        <v>10241</v>
      </c>
      <c r="B564" s="54" t="s">
        <v>90</v>
      </c>
      <c r="C564" s="54"/>
      <c r="D564" s="54"/>
      <c r="E564" s="27">
        <f t="shared" ref="E564" si="729">IF(D526="","",MAX(E565,E566))</f>
        <v>0</v>
      </c>
      <c r="F564" s="26"/>
      <c r="G564" s="26"/>
      <c r="H564" s="26"/>
      <c r="J564" s="1" t="str">
        <f t="shared" ref="J564" si="730">CONCATENATE(J561,"3")</f>
        <v>53</v>
      </c>
      <c r="M564" s="1" t="e">
        <v>#VALUE!</v>
      </c>
      <c r="N564" s="1" t="e">
        <v>#VALUE!</v>
      </c>
      <c r="O564" s="1" t="e">
        <v>#VALUE!</v>
      </c>
      <c r="P564" s="1" t="e">
        <v>#VALUE!</v>
      </c>
      <c r="S564" s="1">
        <f t="shared" si="726"/>
        <v>10</v>
      </c>
      <c r="T564" s="1">
        <v>241</v>
      </c>
    </row>
    <row r="565" spans="1:20" x14ac:dyDescent="0.3">
      <c r="A565" s="1">
        <f t="shared" si="663"/>
        <v>10242</v>
      </c>
      <c r="B565" s="2" t="s">
        <v>26</v>
      </c>
      <c r="C565" s="2" t="s">
        <v>27</v>
      </c>
      <c r="D565" s="2" t="s">
        <v>28</v>
      </c>
      <c r="E565" s="28">
        <f t="shared" ref="E565" si="731">ABS(MIN(D566:D580))</f>
        <v>0</v>
      </c>
      <c r="F565" s="26"/>
      <c r="H565" s="26"/>
      <c r="J565" s="1">
        <f t="shared" ref="J565" si="732">J561-1</f>
        <v>4</v>
      </c>
      <c r="M565" s="1" t="s">
        <v>2</v>
      </c>
      <c r="N565" s="1" t="s">
        <v>3</v>
      </c>
      <c r="O565" s="1" t="s">
        <v>4</v>
      </c>
      <c r="P565" s="1" t="s">
        <v>5</v>
      </c>
      <c r="S565" s="1">
        <f t="shared" si="726"/>
        <v>10</v>
      </c>
      <c r="T565" s="1">
        <v>242</v>
      </c>
    </row>
    <row r="566" spans="1:20" x14ac:dyDescent="0.3">
      <c r="A566" s="1">
        <f t="shared" si="663"/>
        <v>10243</v>
      </c>
      <c r="B566" s="2">
        <f t="shared" ref="B566:B580" si="733">C540-B540</f>
        <v>0</v>
      </c>
      <c r="C566" s="2">
        <f t="shared" ref="C566:C580" si="734">H540-G540</f>
        <v>0</v>
      </c>
      <c r="D566" s="2">
        <f t="shared" ref="D566:D580" si="735">C566-B566</f>
        <v>0</v>
      </c>
      <c r="E566" s="28">
        <f t="shared" ref="E566" si="736">ABS(MAX(D566:D580))</f>
        <v>0</v>
      </c>
      <c r="F566" s="26"/>
      <c r="H566" s="26"/>
      <c r="J566" s="1" t="str">
        <f t="shared" ref="J566" si="737">CONCATENATE(J565,"1")</f>
        <v>41</v>
      </c>
      <c r="M566" s="1" t="e">
        <f t="array" ref="M566:P568">LINEST($B540:$B545,$C540:$C545^{1,2,3},TRUE,TRUE)</f>
        <v>#VALUE!</v>
      </c>
      <c r="N566" s="1" t="e">
        <v>#VALUE!</v>
      </c>
      <c r="O566" s="1" t="e">
        <v>#VALUE!</v>
      </c>
      <c r="P566" s="1" t="e">
        <v>#VALUE!</v>
      </c>
      <c r="S566" s="1">
        <f t="shared" si="726"/>
        <v>10</v>
      </c>
      <c r="T566" s="1">
        <v>243</v>
      </c>
    </row>
    <row r="567" spans="1:20" x14ac:dyDescent="0.3">
      <c r="A567" s="1">
        <f t="shared" si="663"/>
        <v>10244</v>
      </c>
      <c r="B567" s="2">
        <f t="shared" si="733"/>
        <v>0</v>
      </c>
      <c r="C567" s="2">
        <f t="shared" si="734"/>
        <v>0</v>
      </c>
      <c r="D567" s="2">
        <f t="shared" si="735"/>
        <v>0</v>
      </c>
      <c r="E567" s="29" t="s">
        <v>32</v>
      </c>
      <c r="F567" s="26"/>
      <c r="H567" s="26"/>
      <c r="J567" s="1" t="str">
        <f t="shared" ref="J567" si="738">CONCATENATE(J565,"2")</f>
        <v>42</v>
      </c>
      <c r="M567" s="1" t="e">
        <v>#VALUE!</v>
      </c>
      <c r="N567" s="1" t="e">
        <v>#VALUE!</v>
      </c>
      <c r="O567" s="1" t="e">
        <v>#VALUE!</v>
      </c>
      <c r="P567" s="1" t="e">
        <v>#VALUE!</v>
      </c>
      <c r="S567" s="1">
        <f t="shared" si="726"/>
        <v>10</v>
      </c>
      <c r="T567" s="1">
        <v>244</v>
      </c>
    </row>
    <row r="568" spans="1:20" x14ac:dyDescent="0.3">
      <c r="A568" s="1">
        <f t="shared" si="663"/>
        <v>10245</v>
      </c>
      <c r="B568" s="2">
        <f t="shared" si="733"/>
        <v>0</v>
      </c>
      <c r="C568" s="2">
        <f t="shared" si="734"/>
        <v>0</v>
      </c>
      <c r="D568" s="2">
        <f t="shared" si="735"/>
        <v>0</v>
      </c>
      <c r="E568" s="27">
        <f t="shared" ref="E568" si="739">IF(D526="","",MAX(E569,E570))</f>
        <v>0</v>
      </c>
      <c r="F568" s="26"/>
      <c r="H568" s="26"/>
      <c r="J568" s="1" t="str">
        <f t="shared" ref="J568" si="740">CONCATENATE(J565,"3")</f>
        <v>43</v>
      </c>
      <c r="M568" s="1" t="e">
        <v>#VALUE!</v>
      </c>
      <c r="N568" s="1" t="e">
        <v>#VALUE!</v>
      </c>
      <c r="O568" s="1" t="e">
        <v>#VALUE!</v>
      </c>
      <c r="P568" s="1" t="e">
        <v>#VALUE!</v>
      </c>
      <c r="S568" s="1">
        <f t="shared" si="726"/>
        <v>10</v>
      </c>
      <c r="T568" s="1">
        <v>245</v>
      </c>
    </row>
    <row r="569" spans="1:20" x14ac:dyDescent="0.3">
      <c r="A569" s="1">
        <f t="shared" si="663"/>
        <v>10246</v>
      </c>
      <c r="B569" s="2">
        <f t="shared" si="733"/>
        <v>0</v>
      </c>
      <c r="C569" s="2">
        <f t="shared" si="734"/>
        <v>0</v>
      </c>
      <c r="D569" s="2">
        <f t="shared" si="735"/>
        <v>0</v>
      </c>
      <c r="E569" s="28">
        <f t="shared" ref="E569" si="741">ABS(MIN(B566:B580))</f>
        <v>0</v>
      </c>
      <c r="F569" s="26"/>
      <c r="H569" s="26"/>
      <c r="J569" s="1">
        <f t="shared" ref="J569" si="742">J565-1</f>
        <v>3</v>
      </c>
      <c r="M569" s="1" t="s">
        <v>2</v>
      </c>
      <c r="N569" s="1" t="s">
        <v>3</v>
      </c>
      <c r="O569" s="1" t="s">
        <v>4</v>
      </c>
      <c r="P569" s="1" t="s">
        <v>5</v>
      </c>
      <c r="S569" s="1">
        <f t="shared" si="726"/>
        <v>10</v>
      </c>
      <c r="T569" s="1">
        <v>246</v>
      </c>
    </row>
    <row r="570" spans="1:20" x14ac:dyDescent="0.3">
      <c r="A570" s="1">
        <f t="shared" si="663"/>
        <v>10247</v>
      </c>
      <c r="B570" s="2">
        <f t="shared" si="733"/>
        <v>0</v>
      </c>
      <c r="C570" s="2">
        <f t="shared" si="734"/>
        <v>0</v>
      </c>
      <c r="D570" s="2">
        <f t="shared" si="735"/>
        <v>0</v>
      </c>
      <c r="E570" s="28">
        <f t="shared" ref="E570" si="743">ABS(MAX(B566:B580))</f>
        <v>0</v>
      </c>
      <c r="F570" s="26"/>
      <c r="H570" s="26"/>
      <c r="J570" s="1" t="str">
        <f t="shared" ref="J570" si="744">CONCATENATE(J569,"1")</f>
        <v>31</v>
      </c>
      <c r="M570" s="1" t="e">
        <f t="array" ref="M570:P572">LINEST($B540:$B544,$C540:$C544^{1,2,3},TRUE,TRUE)</f>
        <v>#VALUE!</v>
      </c>
      <c r="N570" s="1" t="e">
        <v>#VALUE!</v>
      </c>
      <c r="O570" s="1" t="e">
        <v>#VALUE!</v>
      </c>
      <c r="P570" s="1" t="e">
        <v>#VALUE!</v>
      </c>
      <c r="S570" s="1">
        <f t="shared" si="726"/>
        <v>10</v>
      </c>
      <c r="T570" s="1">
        <v>247</v>
      </c>
    </row>
    <row r="571" spans="1:20" x14ac:dyDescent="0.3">
      <c r="A571" s="1">
        <f t="shared" si="663"/>
        <v>10248</v>
      </c>
      <c r="B571" s="2">
        <f t="shared" si="733"/>
        <v>0</v>
      </c>
      <c r="C571" s="2">
        <f t="shared" si="734"/>
        <v>0</v>
      </c>
      <c r="D571" s="2">
        <f t="shared" si="735"/>
        <v>0</v>
      </c>
      <c r="E571" s="29" t="s">
        <v>33</v>
      </c>
      <c r="F571" s="26"/>
      <c r="J571" s="1" t="str">
        <f t="shared" ref="J571" si="745">CONCATENATE(J569,"2")</f>
        <v>32</v>
      </c>
      <c r="M571" s="1" t="e">
        <v>#VALUE!</v>
      </c>
      <c r="N571" s="1" t="e">
        <v>#VALUE!</v>
      </c>
      <c r="O571" s="1" t="e">
        <v>#VALUE!</v>
      </c>
      <c r="P571" s="1" t="e">
        <v>#VALUE!</v>
      </c>
      <c r="S571" s="1">
        <f t="shared" si="726"/>
        <v>10</v>
      </c>
      <c r="T571" s="1">
        <v>248</v>
      </c>
    </row>
    <row r="572" spans="1:20" x14ac:dyDescent="0.3">
      <c r="A572" s="1">
        <f t="shared" si="663"/>
        <v>10249</v>
      </c>
      <c r="B572" s="2">
        <f t="shared" si="733"/>
        <v>0</v>
      </c>
      <c r="C572" s="2">
        <f t="shared" si="734"/>
        <v>0</v>
      </c>
      <c r="D572" s="2">
        <f t="shared" si="735"/>
        <v>0</v>
      </c>
      <c r="E572" s="27">
        <f t="shared" ref="E572" si="746">IF(D526="","",MAX(E573,E574))</f>
        <v>0.2</v>
      </c>
      <c r="F572" s="26"/>
      <c r="J572" s="1" t="str">
        <f t="shared" ref="J572" si="747">CONCATENATE(J569,"3")</f>
        <v>33</v>
      </c>
      <c r="M572" s="1" t="e">
        <v>#VALUE!</v>
      </c>
      <c r="N572" s="1" t="e">
        <v>#VALUE!</v>
      </c>
      <c r="O572" s="1" t="e">
        <v>#VALUE!</v>
      </c>
      <c r="P572" s="1" t="e">
        <v>#VALUE!</v>
      </c>
      <c r="S572" s="1">
        <f t="shared" si="726"/>
        <v>10</v>
      </c>
      <c r="T572" s="1">
        <v>249</v>
      </c>
    </row>
    <row r="573" spans="1:20" x14ac:dyDescent="0.3">
      <c r="A573" s="1">
        <f t="shared" si="663"/>
        <v>10250</v>
      </c>
      <c r="B573" s="2">
        <f t="shared" si="733"/>
        <v>0</v>
      </c>
      <c r="C573" s="2">
        <f t="shared" si="734"/>
        <v>0</v>
      </c>
      <c r="D573" s="2">
        <f t="shared" si="735"/>
        <v>0</v>
      </c>
      <c r="E573" s="28">
        <f t="shared" ref="E573" si="748">ABS(MIN(D540:D554))</f>
        <v>0.2</v>
      </c>
      <c r="F573" s="26"/>
      <c r="J573" s="1">
        <f t="shared" ref="J573" si="749">J569-1</f>
        <v>2</v>
      </c>
      <c r="N573" s="1" t="s">
        <v>3</v>
      </c>
      <c r="O573" s="1" t="s">
        <v>4</v>
      </c>
      <c r="P573" s="1" t="s">
        <v>5</v>
      </c>
      <c r="S573" s="1">
        <f t="shared" si="726"/>
        <v>10</v>
      </c>
      <c r="T573" s="1">
        <v>250</v>
      </c>
    </row>
    <row r="574" spans="1:20" x14ac:dyDescent="0.3">
      <c r="A574" s="1">
        <f t="shared" si="663"/>
        <v>10251</v>
      </c>
      <c r="B574" s="2">
        <f t="shared" si="733"/>
        <v>0</v>
      </c>
      <c r="C574" s="2">
        <f t="shared" si="734"/>
        <v>0</v>
      </c>
      <c r="D574" s="2">
        <f t="shared" si="735"/>
        <v>0</v>
      </c>
      <c r="E574" s="28">
        <f t="shared" ref="E574" si="750">ABS(MAX(D540:D554))</f>
        <v>0.2</v>
      </c>
      <c r="F574" s="26"/>
      <c r="J574" s="1" t="str">
        <f t="shared" ref="J574" si="751">CONCATENATE(J573,"1")</f>
        <v>21</v>
      </c>
      <c r="N574" s="1" t="e">
        <f t="array" ref="N574:P576">LINEST($B540:$B543,$C540:$C543^{1,2},TRUE,TRUE)</f>
        <v>#VALUE!</v>
      </c>
      <c r="O574" s="1" t="e">
        <v>#VALUE!</v>
      </c>
      <c r="P574" s="1" t="e">
        <v>#VALUE!</v>
      </c>
      <c r="S574" s="1">
        <f t="shared" si="726"/>
        <v>10</v>
      </c>
      <c r="T574" s="1">
        <v>251</v>
      </c>
    </row>
    <row r="575" spans="1:20" x14ac:dyDescent="0.3">
      <c r="A575" s="1">
        <f t="shared" si="663"/>
        <v>10252</v>
      </c>
      <c r="B575" s="2">
        <f t="shared" si="733"/>
        <v>0</v>
      </c>
      <c r="C575" s="2">
        <f t="shared" si="734"/>
        <v>0</v>
      </c>
      <c r="D575" s="2">
        <f t="shared" si="735"/>
        <v>0</v>
      </c>
      <c r="E575" s="26"/>
      <c r="F575" s="26"/>
      <c r="J575" s="1" t="str">
        <f t="shared" ref="J575" si="752">CONCATENATE(J573,"2")</f>
        <v>22</v>
      </c>
      <c r="N575" s="1" t="e">
        <v>#VALUE!</v>
      </c>
      <c r="O575" s="1" t="e">
        <v>#VALUE!</v>
      </c>
      <c r="P575" s="1" t="e">
        <v>#VALUE!</v>
      </c>
      <c r="S575" s="1">
        <f t="shared" si="726"/>
        <v>10</v>
      </c>
      <c r="T575" s="1">
        <v>252</v>
      </c>
    </row>
    <row r="576" spans="1:20" x14ac:dyDescent="0.3">
      <c r="A576" s="1">
        <f t="shared" si="663"/>
        <v>10253</v>
      </c>
      <c r="B576" s="2">
        <f t="shared" si="733"/>
        <v>0</v>
      </c>
      <c r="C576" s="2">
        <f t="shared" si="734"/>
        <v>0</v>
      </c>
      <c r="D576" s="2">
        <f t="shared" si="735"/>
        <v>0</v>
      </c>
      <c r="E576" s="26"/>
      <c r="F576" s="26"/>
      <c r="J576" s="1" t="str">
        <f t="shared" ref="J576" si="753">CONCATENATE(J573,"3")</f>
        <v>23</v>
      </c>
      <c r="N576" s="1" t="e">
        <v>#VALUE!</v>
      </c>
      <c r="O576" s="1" t="e">
        <v>#VALUE!</v>
      </c>
      <c r="P576" s="1" t="e">
        <v>#VALUE!</v>
      </c>
      <c r="S576" s="1">
        <f t="shared" si="726"/>
        <v>10</v>
      </c>
      <c r="T576" s="1">
        <v>253</v>
      </c>
    </row>
    <row r="577" spans="1:20" x14ac:dyDescent="0.3">
      <c r="A577" s="1">
        <f t="shared" si="663"/>
        <v>10254</v>
      </c>
      <c r="B577" s="2">
        <f t="shared" si="733"/>
        <v>0</v>
      </c>
      <c r="C577" s="2">
        <f t="shared" si="734"/>
        <v>0</v>
      </c>
      <c r="D577" s="2">
        <f t="shared" si="735"/>
        <v>0</v>
      </c>
      <c r="E577" s="26"/>
      <c r="F577" s="26"/>
      <c r="J577" s="1">
        <f t="shared" ref="J577" si="754">J573-1</f>
        <v>1</v>
      </c>
      <c r="O577" s="1" t="s">
        <v>4</v>
      </c>
      <c r="P577" s="1" t="s">
        <v>5</v>
      </c>
      <c r="S577" s="1">
        <f t="shared" si="726"/>
        <v>10</v>
      </c>
      <c r="T577" s="1">
        <v>254</v>
      </c>
    </row>
    <row r="578" spans="1:20" x14ac:dyDescent="0.3">
      <c r="A578" s="1">
        <f t="shared" si="663"/>
        <v>10255</v>
      </c>
      <c r="B578" s="2">
        <f t="shared" si="733"/>
        <v>0</v>
      </c>
      <c r="C578" s="2">
        <f t="shared" si="734"/>
        <v>0</v>
      </c>
      <c r="D578" s="2">
        <f t="shared" si="735"/>
        <v>0</v>
      </c>
      <c r="E578" s="26"/>
      <c r="F578" s="26"/>
      <c r="J578" s="1" t="str">
        <f t="shared" ref="J578" si="755">CONCATENATE(J577,"1")</f>
        <v>11</v>
      </c>
      <c r="O578" s="1">
        <f t="array" ref="O578:P580">LINEST($B540:$B542,$C540:$C542^{1},TRUE,TRUE)</f>
        <v>1.0000000000000002</v>
      </c>
      <c r="P578" s="1">
        <v>-2.2737367544323206E-13</v>
      </c>
      <c r="S578" s="1">
        <f t="shared" si="726"/>
        <v>10</v>
      </c>
      <c r="T578" s="1">
        <v>255</v>
      </c>
    </row>
    <row r="579" spans="1:20" x14ac:dyDescent="0.3">
      <c r="A579" s="1">
        <f t="shared" si="663"/>
        <v>10256</v>
      </c>
      <c r="B579" s="2">
        <f t="shared" si="733"/>
        <v>0</v>
      </c>
      <c r="C579" s="2">
        <f t="shared" si="734"/>
        <v>0</v>
      </c>
      <c r="D579" s="2">
        <f t="shared" si="735"/>
        <v>0</v>
      </c>
      <c r="E579" s="26"/>
      <c r="F579" s="26"/>
      <c r="J579" s="1" t="str">
        <f t="shared" ref="J579" si="756">CONCATENATE(J577,"2")</f>
        <v>12</v>
      </c>
      <c r="O579" s="1">
        <v>0</v>
      </c>
      <c r="P579" s="1">
        <v>0</v>
      </c>
      <c r="S579" s="1">
        <f t="shared" si="726"/>
        <v>10</v>
      </c>
      <c r="T579" s="1">
        <v>256</v>
      </c>
    </row>
    <row r="580" spans="1:20" x14ac:dyDescent="0.3">
      <c r="A580" s="1">
        <f t="shared" si="663"/>
        <v>10257</v>
      </c>
      <c r="B580" s="2">
        <f t="shared" si="733"/>
        <v>0</v>
      </c>
      <c r="C580" s="2">
        <f t="shared" si="734"/>
        <v>0</v>
      </c>
      <c r="D580" s="2">
        <f t="shared" si="735"/>
        <v>0</v>
      </c>
      <c r="E580" s="30"/>
      <c r="F580" s="30"/>
      <c r="J580" s="1" t="str">
        <f t="shared" ref="J580" si="757">CONCATENATE(J577,"3")</f>
        <v>13</v>
      </c>
      <c r="O580" s="1">
        <v>1</v>
      </c>
      <c r="P580" s="1">
        <v>0</v>
      </c>
      <c r="S580" s="1">
        <f t="shared" si="726"/>
        <v>10</v>
      </c>
      <c r="T580" s="1">
        <v>257</v>
      </c>
    </row>
    <row r="581" spans="1:20" s="8" customFormat="1" x14ac:dyDescent="0.3"/>
    <row r="582" spans="1:20" x14ac:dyDescent="0.3">
      <c r="A582" s="1">
        <f t="shared" ref="A582:A638" si="758">ROUND(CONCATENATE(S582,T582),0)</f>
        <v>11201</v>
      </c>
      <c r="B582" s="57" t="s">
        <v>0</v>
      </c>
      <c r="C582" s="57"/>
      <c r="D582" s="56" t="s">
        <v>46</v>
      </c>
      <c r="E582" s="56"/>
      <c r="F582" s="56"/>
      <c r="G582" s="56"/>
      <c r="H582" s="56"/>
      <c r="L582" s="1">
        <v>1</v>
      </c>
      <c r="M582" s="1">
        <v>2</v>
      </c>
      <c r="N582" s="1">
        <v>3</v>
      </c>
      <c r="O582" s="1">
        <v>4</v>
      </c>
      <c r="P582" s="1">
        <v>5</v>
      </c>
      <c r="Q582" s="1">
        <v>6</v>
      </c>
      <c r="R582" s="1">
        <v>7</v>
      </c>
      <c r="S582" s="1">
        <f t="shared" ref="S582" si="759">S580+1</f>
        <v>11</v>
      </c>
      <c r="T582" s="1">
        <v>201</v>
      </c>
    </row>
    <row r="583" spans="1:20" x14ac:dyDescent="0.3">
      <c r="A583" s="1">
        <f t="shared" si="758"/>
        <v>11202</v>
      </c>
      <c r="B583" s="57"/>
      <c r="C583" s="57"/>
      <c r="D583" s="57"/>
      <c r="E583" s="57"/>
      <c r="F583" s="57"/>
      <c r="G583" s="57"/>
      <c r="H583" s="57"/>
      <c r="K583" s="2" t="s">
        <v>1</v>
      </c>
      <c r="L583" s="2"/>
      <c r="M583" s="2" t="s">
        <v>2</v>
      </c>
      <c r="N583" s="2" t="s">
        <v>3</v>
      </c>
      <c r="O583" s="2" t="s">
        <v>4</v>
      </c>
      <c r="P583" s="2" t="s">
        <v>5</v>
      </c>
      <c r="S583" s="1">
        <f t="shared" ref="S583" si="760">S582</f>
        <v>11</v>
      </c>
      <c r="T583" s="1">
        <v>202</v>
      </c>
    </row>
    <row r="584" spans="1:20" x14ac:dyDescent="0.3">
      <c r="A584" s="1">
        <f t="shared" si="758"/>
        <v>11203</v>
      </c>
      <c r="B584" s="64" t="s">
        <v>6</v>
      </c>
      <c r="C584" s="64"/>
      <c r="D584" s="68" t="s">
        <v>112</v>
      </c>
      <c r="E584" s="69"/>
      <c r="F584" s="69"/>
      <c r="G584" s="69"/>
      <c r="H584" s="70"/>
      <c r="K584" s="3">
        <f t="shared" ref="K584" ca="1" si="761">IF(K586&gt;=3,N586,LOOKUP(15-($B613+1),M582:R582,M586:P586))</f>
        <v>0</v>
      </c>
      <c r="L584" s="2" t="str">
        <f t="shared" ref="L584" si="762">CONCATENATE($B613,"1")</f>
        <v>11</v>
      </c>
      <c r="M584" s="2">
        <f t="shared" ref="M584" si="763">VLOOKUP(L584,J587:P638,O582,FALSE)</f>
        <v>0</v>
      </c>
      <c r="N584" s="2">
        <f t="shared" ref="N584" si="764">VLOOKUP(L584,J587:P638,P582,FALSE)</f>
        <v>0</v>
      </c>
      <c r="O584" s="2">
        <f t="shared" ref="O584" si="765">VLOOKUP(L584,J587:P638,Q582,FALSE)</f>
        <v>0.9995000000000005</v>
      </c>
      <c r="P584" s="2">
        <f t="shared" ref="P584" si="766">VLOOKUP(L584,J587:P638,R582,FALSE)</f>
        <v>0.22166666666623769</v>
      </c>
      <c r="S584" s="1">
        <f t="shared" si="726"/>
        <v>11</v>
      </c>
      <c r="T584" s="1">
        <v>203</v>
      </c>
    </row>
    <row r="585" spans="1:20" x14ac:dyDescent="0.3">
      <c r="A585" s="1">
        <f t="shared" si="758"/>
        <v>11204</v>
      </c>
      <c r="B585" s="57" t="s">
        <v>7</v>
      </c>
      <c r="C585" s="57"/>
      <c r="D585" s="68" t="s">
        <v>98</v>
      </c>
      <c r="E585" s="69"/>
      <c r="F585" s="69"/>
      <c r="G585" s="69"/>
      <c r="H585" s="70"/>
      <c r="K585" s="2" t="s">
        <v>8</v>
      </c>
      <c r="L585" s="2" t="str">
        <f t="shared" ref="L585" si="767">CONCATENATE($B613,"2")</f>
        <v>12</v>
      </c>
      <c r="M585" s="2">
        <f t="shared" ref="M585" si="768">VLOOKUP(L585,J587:P638,O582,FALSE)</f>
        <v>0</v>
      </c>
      <c r="N585" s="2">
        <f t="shared" ref="N585" si="769">VLOOKUP(L585,J587:P638,P582,FALSE)</f>
        <v>0</v>
      </c>
      <c r="O585" s="2">
        <f t="shared" ref="O585" si="770">VLOOKUP(L585,J587:P638,Q582,FALSE)</f>
        <v>2.8867513459460956E-4</v>
      </c>
      <c r="P585" s="2">
        <f t="shared" ref="P585" si="771">VLOOKUP(L585,J587:P638,R582,FALSE)</f>
        <v>0.26850925909942219</v>
      </c>
      <c r="S585" s="1">
        <f t="shared" si="726"/>
        <v>11</v>
      </c>
      <c r="T585" s="1">
        <v>204</v>
      </c>
    </row>
    <row r="586" spans="1:20" x14ac:dyDescent="0.3">
      <c r="A586" s="1">
        <f t="shared" si="758"/>
        <v>11205</v>
      </c>
      <c r="B586" s="57" t="s">
        <v>9</v>
      </c>
      <c r="C586" s="57"/>
      <c r="D586" s="68" t="s">
        <v>91</v>
      </c>
      <c r="E586" s="69"/>
      <c r="F586" s="69"/>
      <c r="G586" s="69"/>
      <c r="H586" s="70"/>
      <c r="K586" s="3">
        <f t="shared" ref="K586" si="772">IF(B613&gt;3,3,B613)</f>
        <v>1</v>
      </c>
      <c r="L586" s="2" t="str">
        <f t="shared" ref="L586" si="773">CONCATENATE($B613,"3")</f>
        <v>13</v>
      </c>
      <c r="M586" s="2">
        <f t="shared" ref="M586" si="774">VLOOKUP(L586,J587:P638,O582,FALSE)</f>
        <v>0</v>
      </c>
      <c r="N586" s="2">
        <f t="shared" ref="N586" si="775">VLOOKUP(L586,J587:P638,P582,FALSE)</f>
        <v>0</v>
      </c>
      <c r="O586" s="2">
        <f t="shared" ref="O586" si="776">VLOOKUP(L586,J587:P638,Q582,FALSE)</f>
        <v>0.9999999165832778</v>
      </c>
      <c r="P586" s="2">
        <f t="shared" ref="P586" si="777">VLOOKUP(L586,J587:P638,R582,FALSE)</f>
        <v>8.1649658092715072E-3</v>
      </c>
      <c r="S586" s="1">
        <f t="shared" si="726"/>
        <v>11</v>
      </c>
      <c r="T586" s="1">
        <v>205</v>
      </c>
    </row>
    <row r="587" spans="1:20" x14ac:dyDescent="0.3">
      <c r="A587" s="1">
        <f t="shared" si="758"/>
        <v>11206</v>
      </c>
      <c r="B587" s="57" t="s">
        <v>10</v>
      </c>
      <c r="C587" s="57"/>
      <c r="D587" s="68" t="s">
        <v>139</v>
      </c>
      <c r="E587" s="69"/>
      <c r="F587" s="69"/>
      <c r="G587" s="69"/>
      <c r="H587" s="70"/>
      <c r="J587" s="1">
        <v>13</v>
      </c>
      <c r="M587" s="1" t="s">
        <v>2</v>
      </c>
      <c r="N587" s="1" t="s">
        <v>3</v>
      </c>
      <c r="O587" s="1" t="s">
        <v>4</v>
      </c>
      <c r="P587" s="1" t="s">
        <v>5</v>
      </c>
      <c r="S587" s="1">
        <f t="shared" si="726"/>
        <v>11</v>
      </c>
      <c r="T587" s="1">
        <v>206</v>
      </c>
    </row>
    <row r="588" spans="1:20" x14ac:dyDescent="0.3">
      <c r="A588" s="1">
        <f t="shared" si="758"/>
        <v>11207</v>
      </c>
      <c r="B588" s="57" t="s">
        <v>11</v>
      </c>
      <c r="C588" s="57"/>
      <c r="D588" s="71">
        <v>45822</v>
      </c>
      <c r="E588" s="72"/>
      <c r="F588" s="72"/>
      <c r="G588" s="72"/>
      <c r="H588" s="73"/>
      <c r="J588" s="1" t="str">
        <f t="shared" ref="J588" si="778">CONCATENATE(J587,"1")</f>
        <v>131</v>
      </c>
      <c r="M588" s="1" t="e">
        <f t="array" ref="M588:P590">LINEST($B598:$B612,$C598:$C612^{1,2,3},TRUE,TRUE)</f>
        <v>#VALUE!</v>
      </c>
      <c r="N588" s="1" t="e">
        <v>#VALUE!</v>
      </c>
      <c r="O588" s="1" t="e">
        <v>#VALUE!</v>
      </c>
      <c r="P588" s="1" t="e">
        <v>#VALUE!</v>
      </c>
      <c r="S588" s="1">
        <f t="shared" si="726"/>
        <v>11</v>
      </c>
      <c r="T588" s="1">
        <v>207</v>
      </c>
    </row>
    <row r="589" spans="1:20" x14ac:dyDescent="0.3">
      <c r="A589" s="1">
        <f t="shared" si="758"/>
        <v>11208</v>
      </c>
      <c r="B589" s="57" t="s">
        <v>12</v>
      </c>
      <c r="C589" s="57"/>
      <c r="D589" s="65">
        <v>46203</v>
      </c>
      <c r="E589" s="66"/>
      <c r="F589" s="66"/>
      <c r="G589" s="66"/>
      <c r="H589" s="67"/>
      <c r="J589" s="1" t="str">
        <f t="shared" ref="J589" si="779">CONCATENATE(J587,"2")</f>
        <v>132</v>
      </c>
      <c r="M589" s="1" t="e">
        <v>#VALUE!</v>
      </c>
      <c r="N589" s="1" t="e">
        <v>#VALUE!</v>
      </c>
      <c r="O589" s="1" t="e">
        <v>#VALUE!</v>
      </c>
      <c r="P589" s="1" t="e">
        <v>#VALUE!</v>
      </c>
      <c r="S589" s="1">
        <f t="shared" si="726"/>
        <v>11</v>
      </c>
      <c r="T589" s="1">
        <v>208</v>
      </c>
    </row>
    <row r="590" spans="1:20" x14ac:dyDescent="0.3">
      <c r="A590" s="1">
        <f t="shared" si="758"/>
        <v>11209</v>
      </c>
      <c r="B590" s="57" t="s">
        <v>13</v>
      </c>
      <c r="C590" s="57"/>
      <c r="D590" s="9">
        <v>0.1</v>
      </c>
      <c r="E590" s="54" t="s">
        <v>14</v>
      </c>
      <c r="F590" s="54"/>
      <c r="G590" s="54"/>
      <c r="H590" s="9" t="s">
        <v>59</v>
      </c>
      <c r="J590" s="1" t="str">
        <f t="shared" ref="J590" si="780">CONCATENATE(J587,"3")</f>
        <v>133</v>
      </c>
      <c r="M590" s="1" t="e">
        <v>#VALUE!</v>
      </c>
      <c r="N590" s="1" t="e">
        <v>#VALUE!</v>
      </c>
      <c r="O590" s="1" t="e">
        <v>#VALUE!</v>
      </c>
      <c r="P590" s="1" t="e">
        <v>#VALUE!</v>
      </c>
      <c r="S590" s="1">
        <f t="shared" si="726"/>
        <v>11</v>
      </c>
      <c r="T590" s="1">
        <v>209</v>
      </c>
    </row>
    <row r="591" spans="1:20" x14ac:dyDescent="0.3">
      <c r="A591" s="1">
        <f t="shared" si="758"/>
        <v>11210</v>
      </c>
      <c r="B591" s="57" t="s">
        <v>15</v>
      </c>
      <c r="C591" s="57"/>
      <c r="D591" s="2">
        <f t="shared" ref="D591" si="781">MIN(B598:B612)</f>
        <v>909.77</v>
      </c>
      <c r="E591" s="4" t="s">
        <v>16</v>
      </c>
      <c r="F591" s="2">
        <f t="shared" ref="F591" si="782">MAX(B598:B612)</f>
        <v>949.75</v>
      </c>
      <c r="G591" s="5" t="str">
        <f t="shared" ref="G591" si="783">IF(H590="","",H590)</f>
        <v>hPa</v>
      </c>
      <c r="H591" s="23"/>
      <c r="J591" s="1">
        <f t="shared" ref="J591" si="784">J587-1</f>
        <v>12</v>
      </c>
      <c r="M591" s="1" t="s">
        <v>2</v>
      </c>
      <c r="N591" s="1" t="s">
        <v>3</v>
      </c>
      <c r="O591" s="1" t="s">
        <v>4</v>
      </c>
      <c r="P591" s="1" t="s">
        <v>5</v>
      </c>
      <c r="S591" s="1">
        <f t="shared" si="726"/>
        <v>11</v>
      </c>
      <c r="T591" s="1">
        <v>210</v>
      </c>
    </row>
    <row r="592" spans="1:20" x14ac:dyDescent="0.3">
      <c r="A592" s="1">
        <f t="shared" si="758"/>
        <v>11211</v>
      </c>
      <c r="J592" s="1" t="str">
        <f t="shared" ref="J592" si="785">CONCATENATE(J591,"1")</f>
        <v>121</v>
      </c>
      <c r="M592" s="1" t="e">
        <f t="array" ref="M592:P594">LINEST($B598:$B611,$C598:$C611^{1,2,3},TRUE,TRUE)</f>
        <v>#VALUE!</v>
      </c>
      <c r="N592" s="1" t="e">
        <v>#VALUE!</v>
      </c>
      <c r="O592" s="1" t="e">
        <v>#VALUE!</v>
      </c>
      <c r="P592" s="1" t="e">
        <v>#VALUE!</v>
      </c>
      <c r="S592" s="1">
        <f t="shared" si="726"/>
        <v>11</v>
      </c>
      <c r="T592" s="1">
        <v>211</v>
      </c>
    </row>
    <row r="593" spans="1:20" x14ac:dyDescent="0.3">
      <c r="A593" s="1">
        <f t="shared" si="758"/>
        <v>11212</v>
      </c>
      <c r="B593" s="59" t="s">
        <v>17</v>
      </c>
      <c r="C593" s="59"/>
      <c r="D593" s="59"/>
      <c r="E593" s="59"/>
      <c r="F593" s="59"/>
      <c r="G593" s="60" t="s">
        <v>29</v>
      </c>
      <c r="H593" s="61"/>
      <c r="J593" s="1" t="str">
        <f t="shared" ref="J593" si="786">CONCATENATE(J591,"2")</f>
        <v>122</v>
      </c>
      <c r="M593" s="1" t="e">
        <v>#VALUE!</v>
      </c>
      <c r="N593" s="1" t="e">
        <v>#VALUE!</v>
      </c>
      <c r="O593" s="1" t="e">
        <v>#VALUE!</v>
      </c>
      <c r="P593" s="1" t="e">
        <v>#VALUE!</v>
      </c>
      <c r="S593" s="1">
        <f t="shared" si="726"/>
        <v>11</v>
      </c>
      <c r="T593" s="1">
        <v>212</v>
      </c>
    </row>
    <row r="594" spans="1:20" x14ac:dyDescent="0.3">
      <c r="A594" s="1">
        <f t="shared" si="758"/>
        <v>11213</v>
      </c>
      <c r="B594" s="54" t="s">
        <v>18</v>
      </c>
      <c r="C594" s="54"/>
      <c r="D594" s="54"/>
      <c r="E594" s="54" t="str">
        <f t="shared" ref="E594" si="787">IF(D587="","",D587)</f>
        <v>E0400B/25</v>
      </c>
      <c r="F594" s="54"/>
      <c r="G594" s="5" t="s">
        <v>18</v>
      </c>
      <c r="H594" s="33" t="s">
        <v>113</v>
      </c>
      <c r="J594" s="1" t="str">
        <f t="shared" ref="J594" si="788">CONCATENATE(J591,"3")</f>
        <v>123</v>
      </c>
      <c r="M594" s="1" t="e">
        <v>#VALUE!</v>
      </c>
      <c r="N594" s="1" t="e">
        <v>#VALUE!</v>
      </c>
      <c r="O594" s="1" t="e">
        <v>#VALUE!</v>
      </c>
      <c r="P594" s="1" t="e">
        <v>#VALUE!</v>
      </c>
      <c r="S594" s="1">
        <f t="shared" si="726"/>
        <v>11</v>
      </c>
      <c r="T594" s="1">
        <v>213</v>
      </c>
    </row>
    <row r="595" spans="1:20" ht="15" customHeight="1" x14ac:dyDescent="0.3">
      <c r="A595" s="1">
        <f t="shared" si="758"/>
        <v>11214</v>
      </c>
      <c r="B595" s="6" t="s">
        <v>19</v>
      </c>
      <c r="C595" s="6" t="s">
        <v>20</v>
      </c>
      <c r="D595" s="6" t="s">
        <v>21</v>
      </c>
      <c r="E595" s="6"/>
      <c r="F595" s="55" t="s">
        <v>31</v>
      </c>
      <c r="G595" s="6" t="s">
        <v>19</v>
      </c>
      <c r="H595" s="6" t="s">
        <v>20</v>
      </c>
      <c r="J595" s="1">
        <f t="shared" ref="J595" si="789">J591-1</f>
        <v>11</v>
      </c>
      <c r="M595" s="1" t="s">
        <v>2</v>
      </c>
      <c r="N595" s="1" t="s">
        <v>3</v>
      </c>
      <c r="O595" s="1" t="s">
        <v>4</v>
      </c>
      <c r="P595" s="1" t="s">
        <v>5</v>
      </c>
      <c r="S595" s="1">
        <f t="shared" si="726"/>
        <v>11</v>
      </c>
      <c r="T595" s="1">
        <v>214</v>
      </c>
    </row>
    <row r="596" spans="1:20" x14ac:dyDescent="0.3">
      <c r="A596" s="1">
        <f t="shared" si="758"/>
        <v>11215</v>
      </c>
      <c r="B596" s="6" t="s">
        <v>22</v>
      </c>
      <c r="C596" s="6" t="s">
        <v>23</v>
      </c>
      <c r="D596" s="6" t="s">
        <v>24</v>
      </c>
      <c r="E596" s="6" t="s">
        <v>30</v>
      </c>
      <c r="F596" s="55"/>
      <c r="G596" s="6" t="s">
        <v>22</v>
      </c>
      <c r="H596" s="6" t="s">
        <v>23</v>
      </c>
      <c r="J596" s="1" t="str">
        <f t="shared" ref="J596" si="790">CONCATENATE(J595,"1")</f>
        <v>111</v>
      </c>
      <c r="M596" s="1" t="e">
        <f t="array" ref="M596:P598">LINEST($B598:$B610,$C598:$C610^{1,2,3},TRUE,TRUE)</f>
        <v>#VALUE!</v>
      </c>
      <c r="N596" s="1" t="e">
        <v>#VALUE!</v>
      </c>
      <c r="O596" s="1" t="e">
        <v>#VALUE!</v>
      </c>
      <c r="P596" s="1" t="e">
        <v>#VALUE!</v>
      </c>
      <c r="S596" s="1">
        <f t="shared" si="726"/>
        <v>11</v>
      </c>
      <c r="T596" s="1">
        <v>215</v>
      </c>
    </row>
    <row r="597" spans="1:20" x14ac:dyDescent="0.3">
      <c r="A597" s="1">
        <f t="shared" si="758"/>
        <v>11216</v>
      </c>
      <c r="B597" s="7" t="str">
        <f t="shared" ref="B597" si="791">IF(H590="","",H590)</f>
        <v>hPa</v>
      </c>
      <c r="C597" s="7" t="str">
        <f t="shared" ref="C597" si="792">IF(H590="","",H590)</f>
        <v>hPa</v>
      </c>
      <c r="D597" s="7" t="str">
        <f t="shared" ref="D597" si="793">IF(H590="","",H590)</f>
        <v>hPa</v>
      </c>
      <c r="E597" s="7"/>
      <c r="F597" s="7" t="str">
        <f t="shared" ref="F597" si="794">IF(I590="","",I590)</f>
        <v/>
      </c>
      <c r="G597" s="7" t="str">
        <f t="shared" ref="G597" si="795">IF(H590="","",H590)</f>
        <v>hPa</v>
      </c>
      <c r="H597" s="7" t="str">
        <f t="shared" ref="H597" si="796">IF(H590="","",H590)</f>
        <v>hPa</v>
      </c>
      <c r="J597" s="1" t="str">
        <f t="shared" ref="J597" si="797">CONCATENATE(J595,"2")</f>
        <v>112</v>
      </c>
      <c r="M597" s="1" t="e">
        <v>#VALUE!</v>
      </c>
      <c r="N597" s="1" t="e">
        <v>#VALUE!</v>
      </c>
      <c r="O597" s="1" t="e">
        <v>#VALUE!</v>
      </c>
      <c r="P597" s="1" t="e">
        <v>#VALUE!</v>
      </c>
      <c r="S597" s="1">
        <f t="shared" si="726"/>
        <v>11</v>
      </c>
      <c r="T597" s="1">
        <v>216</v>
      </c>
    </row>
    <row r="598" spans="1:20" x14ac:dyDescent="0.3">
      <c r="A598" s="1">
        <f t="shared" si="758"/>
        <v>11217</v>
      </c>
      <c r="B598" s="24">
        <v>909.77</v>
      </c>
      <c r="C598" s="24">
        <v>910</v>
      </c>
      <c r="D598" s="24">
        <v>0.12</v>
      </c>
      <c r="E598" s="24">
        <v>2</v>
      </c>
      <c r="F598" s="24">
        <v>1000000</v>
      </c>
      <c r="G598" s="25">
        <v>910</v>
      </c>
      <c r="H598" s="25">
        <v>910</v>
      </c>
      <c r="J598" s="1" t="str">
        <f t="shared" ref="J598" si="798">CONCATENATE(J595,"3")</f>
        <v>113</v>
      </c>
      <c r="M598" s="1" t="e">
        <v>#VALUE!</v>
      </c>
      <c r="N598" s="1" t="e">
        <v>#VALUE!</v>
      </c>
      <c r="O598" s="1" t="e">
        <v>#VALUE!</v>
      </c>
      <c r="P598" s="1" t="e">
        <v>#VALUE!</v>
      </c>
      <c r="S598" s="1">
        <f t="shared" si="726"/>
        <v>11</v>
      </c>
      <c r="T598" s="1">
        <v>217</v>
      </c>
    </row>
    <row r="599" spans="1:20" x14ac:dyDescent="0.3">
      <c r="A599" s="1">
        <f t="shared" si="758"/>
        <v>11218</v>
      </c>
      <c r="B599" s="24">
        <v>929.75</v>
      </c>
      <c r="C599" s="24">
        <v>930</v>
      </c>
      <c r="D599" s="24">
        <v>0.12</v>
      </c>
      <c r="E599" s="24">
        <v>2</v>
      </c>
      <c r="F599" s="24">
        <v>1000000</v>
      </c>
      <c r="G599" s="25">
        <v>930</v>
      </c>
      <c r="H599" s="25">
        <v>930</v>
      </c>
      <c r="J599" s="1">
        <f t="shared" ref="J599" si="799">J595-1</f>
        <v>10</v>
      </c>
      <c r="M599" s="1" t="s">
        <v>2</v>
      </c>
      <c r="N599" s="1" t="s">
        <v>3</v>
      </c>
      <c r="O599" s="1" t="s">
        <v>4</v>
      </c>
      <c r="P599" s="1" t="s">
        <v>5</v>
      </c>
      <c r="S599" s="1">
        <f t="shared" si="726"/>
        <v>11</v>
      </c>
      <c r="T599" s="1">
        <v>218</v>
      </c>
    </row>
    <row r="600" spans="1:20" x14ac:dyDescent="0.3">
      <c r="A600" s="1">
        <f t="shared" si="758"/>
        <v>11219</v>
      </c>
      <c r="B600" s="24">
        <v>949.75</v>
      </c>
      <c r="C600" s="24">
        <v>950</v>
      </c>
      <c r="D600" s="24">
        <v>0.12</v>
      </c>
      <c r="E600" s="24">
        <v>2</v>
      </c>
      <c r="F600" s="24">
        <v>1000000</v>
      </c>
      <c r="G600" s="25">
        <v>950</v>
      </c>
      <c r="H600" s="25">
        <v>950</v>
      </c>
      <c r="J600" s="1" t="str">
        <f t="shared" ref="J600" si="800">CONCATENATE(J599,"1")</f>
        <v>101</v>
      </c>
      <c r="M600" s="1" t="e">
        <f t="array" ref="M600:P602">LINEST($B598:$B609,$C598:$C609^{1,2,3},TRUE,TRUE)</f>
        <v>#VALUE!</v>
      </c>
      <c r="N600" s="1" t="e">
        <v>#VALUE!</v>
      </c>
      <c r="O600" s="1" t="e">
        <v>#VALUE!</v>
      </c>
      <c r="P600" s="1" t="e">
        <v>#VALUE!</v>
      </c>
      <c r="S600" s="1">
        <f t="shared" si="726"/>
        <v>11</v>
      </c>
      <c r="T600" s="1">
        <v>219</v>
      </c>
    </row>
    <row r="601" spans="1:20" x14ac:dyDescent="0.3">
      <c r="A601" s="1">
        <f t="shared" si="758"/>
        <v>11220</v>
      </c>
      <c r="B601" s="24"/>
      <c r="C601" s="24"/>
      <c r="D601" s="24"/>
      <c r="E601" s="24"/>
      <c r="F601" s="24"/>
      <c r="G601" s="25"/>
      <c r="H601" s="25"/>
      <c r="J601" s="1" t="str">
        <f t="shared" ref="J601" si="801">CONCATENATE(J599,"2")</f>
        <v>102</v>
      </c>
      <c r="M601" s="1" t="e">
        <v>#VALUE!</v>
      </c>
      <c r="N601" s="1" t="e">
        <v>#VALUE!</v>
      </c>
      <c r="O601" s="1" t="e">
        <v>#VALUE!</v>
      </c>
      <c r="P601" s="1" t="e">
        <v>#VALUE!</v>
      </c>
      <c r="S601" s="1">
        <f t="shared" si="726"/>
        <v>11</v>
      </c>
      <c r="T601" s="1">
        <v>220</v>
      </c>
    </row>
    <row r="602" spans="1:20" x14ac:dyDescent="0.3">
      <c r="A602" s="1">
        <f t="shared" si="758"/>
        <v>11221</v>
      </c>
      <c r="B602" s="24"/>
      <c r="C602" s="24"/>
      <c r="D602" s="24"/>
      <c r="E602" s="24"/>
      <c r="F602" s="24"/>
      <c r="G602" s="25"/>
      <c r="H602" s="25"/>
      <c r="J602" s="1" t="str">
        <f t="shared" ref="J602" si="802">CONCATENATE(J599,"3")</f>
        <v>103</v>
      </c>
      <c r="M602" s="1" t="e">
        <v>#VALUE!</v>
      </c>
      <c r="N602" s="1" t="e">
        <v>#VALUE!</v>
      </c>
      <c r="O602" s="1" t="e">
        <v>#VALUE!</v>
      </c>
      <c r="P602" s="1" t="e">
        <v>#VALUE!</v>
      </c>
      <c r="S602" s="1">
        <f t="shared" si="726"/>
        <v>11</v>
      </c>
      <c r="T602" s="1">
        <v>221</v>
      </c>
    </row>
    <row r="603" spans="1:20" x14ac:dyDescent="0.3">
      <c r="A603" s="1">
        <f t="shared" si="758"/>
        <v>11222</v>
      </c>
      <c r="B603" s="24"/>
      <c r="C603" s="24"/>
      <c r="D603" s="24"/>
      <c r="E603" s="24"/>
      <c r="F603" s="24"/>
      <c r="G603" s="25"/>
      <c r="H603" s="25"/>
      <c r="J603" s="1">
        <f t="shared" ref="J603" si="803">J599-1</f>
        <v>9</v>
      </c>
      <c r="M603" s="1" t="s">
        <v>2</v>
      </c>
      <c r="N603" s="1" t="s">
        <v>3</v>
      </c>
      <c r="O603" s="1" t="s">
        <v>4</v>
      </c>
      <c r="P603" s="1" t="s">
        <v>5</v>
      </c>
      <c r="S603" s="1">
        <f t="shared" si="726"/>
        <v>11</v>
      </c>
      <c r="T603" s="1">
        <v>222</v>
      </c>
    </row>
    <row r="604" spans="1:20" x14ac:dyDescent="0.3">
      <c r="A604" s="1">
        <f t="shared" si="758"/>
        <v>11223</v>
      </c>
      <c r="B604" s="24"/>
      <c r="C604" s="24"/>
      <c r="D604" s="24"/>
      <c r="E604" s="24"/>
      <c r="F604" s="24"/>
      <c r="G604" s="25"/>
      <c r="H604" s="25"/>
      <c r="J604" s="1" t="str">
        <f t="shared" ref="J604" si="804">CONCATENATE(J603,"1")</f>
        <v>91</v>
      </c>
      <c r="M604" s="1" t="e">
        <f t="array" ref="M604:P606">LINEST($B598:$B608,$C598:$C608^{1,2,3},TRUE,TRUE)</f>
        <v>#VALUE!</v>
      </c>
      <c r="N604" s="1" t="e">
        <v>#VALUE!</v>
      </c>
      <c r="O604" s="1" t="e">
        <v>#VALUE!</v>
      </c>
      <c r="P604" s="1" t="e">
        <v>#VALUE!</v>
      </c>
      <c r="S604" s="1">
        <f t="shared" si="726"/>
        <v>11</v>
      </c>
      <c r="T604" s="1">
        <v>223</v>
      </c>
    </row>
    <row r="605" spans="1:20" x14ac:dyDescent="0.3">
      <c r="A605" s="1">
        <f t="shared" si="758"/>
        <v>11224</v>
      </c>
      <c r="B605" s="24"/>
      <c r="C605" s="24"/>
      <c r="D605" s="24"/>
      <c r="E605" s="24"/>
      <c r="F605" s="24"/>
      <c r="G605" s="25"/>
      <c r="H605" s="25"/>
      <c r="J605" s="1" t="str">
        <f t="shared" ref="J605" si="805">CONCATENATE(J603,"2")</f>
        <v>92</v>
      </c>
      <c r="M605" s="1" t="e">
        <v>#VALUE!</v>
      </c>
      <c r="N605" s="1" t="e">
        <v>#VALUE!</v>
      </c>
      <c r="O605" s="1" t="e">
        <v>#VALUE!</v>
      </c>
      <c r="P605" s="1" t="e">
        <v>#VALUE!</v>
      </c>
      <c r="S605" s="1">
        <f t="shared" si="726"/>
        <v>11</v>
      </c>
      <c r="T605" s="1">
        <v>224</v>
      </c>
    </row>
    <row r="606" spans="1:20" x14ac:dyDescent="0.3">
      <c r="A606" s="1">
        <f t="shared" si="758"/>
        <v>11225</v>
      </c>
      <c r="B606" s="24"/>
      <c r="C606" s="24"/>
      <c r="D606" s="24"/>
      <c r="E606" s="24"/>
      <c r="F606" s="24"/>
      <c r="G606" s="25"/>
      <c r="H606" s="25"/>
      <c r="J606" s="1" t="str">
        <f t="shared" ref="J606" si="806">CONCATENATE(J603,"3")</f>
        <v>93</v>
      </c>
      <c r="M606" s="1" t="e">
        <v>#VALUE!</v>
      </c>
      <c r="N606" s="1" t="e">
        <v>#VALUE!</v>
      </c>
      <c r="O606" s="1" t="e">
        <v>#VALUE!</v>
      </c>
      <c r="P606" s="1" t="e">
        <v>#VALUE!</v>
      </c>
      <c r="S606" s="1">
        <f t="shared" si="726"/>
        <v>11</v>
      </c>
      <c r="T606" s="1">
        <v>225</v>
      </c>
    </row>
    <row r="607" spans="1:20" x14ac:dyDescent="0.3">
      <c r="A607" s="1">
        <f t="shared" si="758"/>
        <v>11226</v>
      </c>
      <c r="B607" s="24"/>
      <c r="C607" s="24"/>
      <c r="D607" s="24"/>
      <c r="E607" s="24"/>
      <c r="F607" s="24"/>
      <c r="G607" s="25"/>
      <c r="H607" s="25"/>
      <c r="J607" s="1">
        <f t="shared" ref="J607" si="807">J603-1</f>
        <v>8</v>
      </c>
      <c r="M607" s="1" t="s">
        <v>2</v>
      </c>
      <c r="N607" s="1" t="s">
        <v>3</v>
      </c>
      <c r="O607" s="1" t="s">
        <v>4</v>
      </c>
      <c r="P607" s="1" t="s">
        <v>5</v>
      </c>
      <c r="S607" s="1">
        <f t="shared" si="726"/>
        <v>11</v>
      </c>
      <c r="T607" s="1">
        <v>226</v>
      </c>
    </row>
    <row r="608" spans="1:20" x14ac:dyDescent="0.3">
      <c r="A608" s="1">
        <f t="shared" si="758"/>
        <v>11227</v>
      </c>
      <c r="B608" s="24"/>
      <c r="C608" s="24"/>
      <c r="D608" s="24"/>
      <c r="E608" s="24"/>
      <c r="F608" s="24"/>
      <c r="G608" s="25"/>
      <c r="H608" s="25"/>
      <c r="J608" s="1" t="str">
        <f t="shared" ref="J608" si="808">CONCATENATE(J607,"1")</f>
        <v>81</v>
      </c>
      <c r="M608" s="1" t="e">
        <f t="array" ref="M608:P610">LINEST($B598:$B607,$C598:$C607^{1,2,3},TRUE,TRUE)</f>
        <v>#VALUE!</v>
      </c>
      <c r="N608" s="1" t="e">
        <v>#VALUE!</v>
      </c>
      <c r="O608" s="1" t="e">
        <v>#VALUE!</v>
      </c>
      <c r="P608" s="1" t="e">
        <v>#VALUE!</v>
      </c>
      <c r="S608" s="1">
        <f t="shared" si="726"/>
        <v>11</v>
      </c>
      <c r="T608" s="1">
        <v>227</v>
      </c>
    </row>
    <row r="609" spans="1:20" x14ac:dyDescent="0.3">
      <c r="A609" s="1">
        <f t="shared" si="758"/>
        <v>11228</v>
      </c>
      <c r="B609" s="24"/>
      <c r="C609" s="24"/>
      <c r="D609" s="24"/>
      <c r="E609" s="24"/>
      <c r="F609" s="24"/>
      <c r="G609" s="25"/>
      <c r="H609" s="25"/>
      <c r="J609" s="1" t="str">
        <f t="shared" ref="J609" si="809">CONCATENATE(J607,"2")</f>
        <v>82</v>
      </c>
      <c r="M609" s="1" t="e">
        <v>#VALUE!</v>
      </c>
      <c r="N609" s="1" t="e">
        <v>#VALUE!</v>
      </c>
      <c r="O609" s="1" t="e">
        <v>#VALUE!</v>
      </c>
      <c r="P609" s="1" t="e">
        <v>#VALUE!</v>
      </c>
      <c r="S609" s="1">
        <f t="shared" si="726"/>
        <v>11</v>
      </c>
      <c r="T609" s="1">
        <v>228</v>
      </c>
    </row>
    <row r="610" spans="1:20" x14ac:dyDescent="0.3">
      <c r="A610" s="1">
        <f t="shared" si="758"/>
        <v>11229</v>
      </c>
      <c r="B610" s="24"/>
      <c r="C610" s="24"/>
      <c r="D610" s="24"/>
      <c r="E610" s="24"/>
      <c r="F610" s="24"/>
      <c r="G610" s="25"/>
      <c r="H610" s="25"/>
      <c r="J610" s="1" t="str">
        <f t="shared" ref="J610" si="810">CONCATENATE(J607,"3")</f>
        <v>83</v>
      </c>
      <c r="M610" s="1" t="e">
        <v>#VALUE!</v>
      </c>
      <c r="N610" s="1" t="e">
        <v>#VALUE!</v>
      </c>
      <c r="O610" s="1" t="e">
        <v>#VALUE!</v>
      </c>
      <c r="P610" s="1" t="e">
        <v>#VALUE!</v>
      </c>
      <c r="S610" s="1">
        <f t="shared" si="726"/>
        <v>11</v>
      </c>
      <c r="T610" s="1">
        <v>229</v>
      </c>
    </row>
    <row r="611" spans="1:20" x14ac:dyDescent="0.3">
      <c r="A611" s="1">
        <f t="shared" si="758"/>
        <v>11230</v>
      </c>
      <c r="B611" s="24"/>
      <c r="C611" s="24"/>
      <c r="D611" s="24"/>
      <c r="E611" s="24"/>
      <c r="F611" s="24"/>
      <c r="G611" s="25"/>
      <c r="H611" s="25"/>
      <c r="J611" s="1">
        <f t="shared" ref="J611" si="811">J607-1</f>
        <v>7</v>
      </c>
      <c r="M611" s="1" t="s">
        <v>2</v>
      </c>
      <c r="N611" s="1" t="s">
        <v>3</v>
      </c>
      <c r="O611" s="1" t="s">
        <v>4</v>
      </c>
      <c r="P611" s="1" t="s">
        <v>5</v>
      </c>
      <c r="S611" s="1">
        <f t="shared" si="726"/>
        <v>11</v>
      </c>
      <c r="T611" s="1">
        <v>230</v>
      </c>
    </row>
    <row r="612" spans="1:20" x14ac:dyDescent="0.3">
      <c r="A612" s="1">
        <f t="shared" si="758"/>
        <v>11231</v>
      </c>
      <c r="B612" s="24"/>
      <c r="C612" s="24"/>
      <c r="D612" s="24"/>
      <c r="E612" s="24"/>
      <c r="F612" s="24"/>
      <c r="G612" s="25"/>
      <c r="H612" s="25"/>
      <c r="J612" s="1" t="str">
        <f t="shared" ref="J612" si="812">CONCATENATE(J611,"1")</f>
        <v>71</v>
      </c>
      <c r="M612" s="1" t="e">
        <f t="array" ref="M612:P614">LINEST($B598:$B606,$C598:$C606^{1,2,3},TRUE,TRUE)</f>
        <v>#VALUE!</v>
      </c>
      <c r="N612" s="1" t="e">
        <v>#VALUE!</v>
      </c>
      <c r="O612" s="1" t="e">
        <v>#VALUE!</v>
      </c>
      <c r="P612" s="1" t="e">
        <v>#VALUE!</v>
      </c>
      <c r="S612" s="1">
        <f t="shared" si="726"/>
        <v>11</v>
      </c>
      <c r="T612" s="1">
        <v>231</v>
      </c>
    </row>
    <row r="613" spans="1:20" x14ac:dyDescent="0.3">
      <c r="A613" s="1">
        <f t="shared" si="758"/>
        <v>11232</v>
      </c>
      <c r="B613" s="2">
        <f t="shared" ref="B613" si="813">COUNT(B598:B612)-2</f>
        <v>1</v>
      </c>
      <c r="J613" s="1" t="str">
        <f t="shared" ref="J613" si="814">CONCATENATE(J611,"2")</f>
        <v>72</v>
      </c>
      <c r="M613" s="1" t="e">
        <v>#VALUE!</v>
      </c>
      <c r="N613" s="1" t="e">
        <v>#VALUE!</v>
      </c>
      <c r="O613" s="1" t="e">
        <v>#VALUE!</v>
      </c>
      <c r="P613" s="1" t="e">
        <v>#VALUE!</v>
      </c>
      <c r="S613" s="1">
        <f t="shared" si="726"/>
        <v>11</v>
      </c>
      <c r="T613" s="1">
        <v>232</v>
      </c>
    </row>
    <row r="614" spans="1:20" x14ac:dyDescent="0.3">
      <c r="A614" s="1">
        <f t="shared" si="758"/>
        <v>11233</v>
      </c>
      <c r="J614" s="1" t="str">
        <f t="shared" ref="J614" si="815">CONCATENATE(J611,"3")</f>
        <v>73</v>
      </c>
      <c r="M614" s="1" t="e">
        <v>#VALUE!</v>
      </c>
      <c r="N614" s="1" t="e">
        <v>#VALUE!</v>
      </c>
      <c r="O614" s="1" t="e">
        <v>#VALUE!</v>
      </c>
      <c r="P614" s="1" t="e">
        <v>#VALUE!</v>
      </c>
      <c r="S614" s="1">
        <f t="shared" si="726"/>
        <v>11</v>
      </c>
      <c r="T614" s="1">
        <v>233</v>
      </c>
    </row>
    <row r="615" spans="1:20" x14ac:dyDescent="0.3">
      <c r="A615" s="1">
        <f t="shared" si="758"/>
        <v>11234</v>
      </c>
      <c r="B615" s="54" t="s">
        <v>25</v>
      </c>
      <c r="C615" s="54"/>
      <c r="D615" s="54"/>
      <c r="E615" s="54"/>
      <c r="F615" s="54"/>
      <c r="G615" s="54"/>
      <c r="H615" s="54"/>
      <c r="J615" s="1">
        <f t="shared" ref="J615" si="816">J611-1</f>
        <v>6</v>
      </c>
      <c r="M615" s="1" t="s">
        <v>2</v>
      </c>
      <c r="N615" s="1" t="s">
        <v>3</v>
      </c>
      <c r="O615" s="1" t="s">
        <v>4</v>
      </c>
      <c r="P615" s="1" t="s">
        <v>5</v>
      </c>
      <c r="S615" s="1">
        <f t="shared" si="726"/>
        <v>11</v>
      </c>
      <c r="T615" s="1">
        <v>234</v>
      </c>
    </row>
    <row r="616" spans="1:20" x14ac:dyDescent="0.3">
      <c r="A616" s="1">
        <f t="shared" si="758"/>
        <v>11235</v>
      </c>
      <c r="B616" s="56"/>
      <c r="C616" s="56"/>
      <c r="D616" s="56"/>
      <c r="E616" s="56"/>
      <c r="F616" s="56"/>
      <c r="G616" s="56"/>
      <c r="H616" s="56"/>
      <c r="J616" s="1" t="str">
        <f t="shared" ref="J616" si="817">CONCATENATE(J615,"1")</f>
        <v>61</v>
      </c>
      <c r="M616" s="1" t="e">
        <f t="array" ref="M616:P618">LINEST($B598:$B605,$C598:$C605^{1,2,3},TRUE,TRUE)</f>
        <v>#VALUE!</v>
      </c>
      <c r="N616" s="1" t="e">
        <v>#VALUE!</v>
      </c>
      <c r="O616" s="1" t="e">
        <v>#VALUE!</v>
      </c>
      <c r="P616" s="1" t="e">
        <v>#VALUE!</v>
      </c>
      <c r="S616" s="1">
        <f t="shared" si="726"/>
        <v>11</v>
      </c>
      <c r="T616" s="1">
        <v>235</v>
      </c>
    </row>
    <row r="617" spans="1:20" x14ac:dyDescent="0.3">
      <c r="A617" s="1">
        <f t="shared" si="758"/>
        <v>11236</v>
      </c>
      <c r="B617" s="56"/>
      <c r="C617" s="56"/>
      <c r="D617" s="56"/>
      <c r="E617" s="56"/>
      <c r="F617" s="56"/>
      <c r="G617" s="56"/>
      <c r="H617" s="56"/>
      <c r="J617" s="1" t="str">
        <f t="shared" ref="J617" si="818">CONCATENATE(J615,"2")</f>
        <v>62</v>
      </c>
      <c r="M617" s="1" t="e">
        <v>#VALUE!</v>
      </c>
      <c r="N617" s="1" t="e">
        <v>#VALUE!</v>
      </c>
      <c r="O617" s="1" t="e">
        <v>#VALUE!</v>
      </c>
      <c r="P617" s="1" t="e">
        <v>#VALUE!</v>
      </c>
      <c r="S617" s="1">
        <f t="shared" si="726"/>
        <v>11</v>
      </c>
      <c r="T617" s="1">
        <v>236</v>
      </c>
    </row>
    <row r="618" spans="1:20" x14ac:dyDescent="0.3">
      <c r="A618" s="1">
        <f t="shared" si="758"/>
        <v>11237</v>
      </c>
      <c r="J618" s="1" t="str">
        <f t="shared" ref="J618" si="819">CONCATENATE(J615,"3")</f>
        <v>63</v>
      </c>
      <c r="M618" s="1" t="e">
        <v>#VALUE!</v>
      </c>
      <c r="N618" s="1" t="e">
        <v>#VALUE!</v>
      </c>
      <c r="O618" s="1" t="e">
        <v>#VALUE!</v>
      </c>
      <c r="P618" s="1" t="e">
        <v>#VALUE!</v>
      </c>
      <c r="S618" s="1">
        <f t="shared" si="726"/>
        <v>11</v>
      </c>
      <c r="T618" s="1">
        <v>237</v>
      </c>
    </row>
    <row r="619" spans="1:20" ht="15" customHeight="1" x14ac:dyDescent="0.3">
      <c r="A619" s="1">
        <f t="shared" si="758"/>
        <v>11238</v>
      </c>
      <c r="J619" s="1">
        <f t="shared" ref="J619" si="820">J615-1</f>
        <v>5</v>
      </c>
      <c r="M619" s="1" t="s">
        <v>2</v>
      </c>
      <c r="N619" s="1" t="s">
        <v>3</v>
      </c>
      <c r="O619" s="1" t="s">
        <v>4</v>
      </c>
      <c r="P619" s="1" t="s">
        <v>5</v>
      </c>
      <c r="S619" s="1">
        <f t="shared" si="726"/>
        <v>11</v>
      </c>
      <c r="T619" s="1">
        <v>238</v>
      </c>
    </row>
    <row r="620" spans="1:20" x14ac:dyDescent="0.3">
      <c r="A620" s="1">
        <f t="shared" si="758"/>
        <v>11239</v>
      </c>
      <c r="J620" s="1" t="str">
        <f t="shared" ref="J620" si="821">CONCATENATE(J619,"1")</f>
        <v>51</v>
      </c>
      <c r="M620" s="1" t="e">
        <f t="array" ref="M620:P622">LINEST($B598:$B604,$C598:$C604^{1,2,3},TRUE,TRUE)</f>
        <v>#VALUE!</v>
      </c>
      <c r="N620" s="1" t="e">
        <v>#VALUE!</v>
      </c>
      <c r="O620" s="1" t="e">
        <v>#VALUE!</v>
      </c>
      <c r="P620" s="1" t="e">
        <v>#VALUE!</v>
      </c>
      <c r="S620" s="1">
        <f t="shared" si="726"/>
        <v>11</v>
      </c>
      <c r="T620" s="1">
        <v>239</v>
      </c>
    </row>
    <row r="621" spans="1:20" x14ac:dyDescent="0.3">
      <c r="A621" s="1">
        <f t="shared" si="758"/>
        <v>11240</v>
      </c>
      <c r="E621" s="26"/>
      <c r="F621" s="26"/>
      <c r="G621" s="26"/>
      <c r="H621" s="26"/>
      <c r="J621" s="1" t="str">
        <f t="shared" ref="J621" si="822">CONCATENATE(J619,"2")</f>
        <v>52</v>
      </c>
      <c r="M621" s="1" t="e">
        <v>#VALUE!</v>
      </c>
      <c r="N621" s="1" t="e">
        <v>#VALUE!</v>
      </c>
      <c r="O621" s="1" t="e">
        <v>#VALUE!</v>
      </c>
      <c r="P621" s="1" t="e">
        <v>#VALUE!</v>
      </c>
      <c r="S621" s="1">
        <f t="shared" si="726"/>
        <v>11</v>
      </c>
      <c r="T621" s="1">
        <v>240</v>
      </c>
    </row>
    <row r="622" spans="1:20" x14ac:dyDescent="0.3">
      <c r="A622" s="1">
        <f t="shared" si="758"/>
        <v>11241</v>
      </c>
      <c r="B622" s="54" t="s">
        <v>90</v>
      </c>
      <c r="C622" s="54"/>
      <c r="D622" s="54"/>
      <c r="E622" s="27">
        <f t="shared" ref="E622" si="823">IF(D584="","",MAX(E623,E624))</f>
        <v>0.25</v>
      </c>
      <c r="F622" s="26"/>
      <c r="G622" s="26"/>
      <c r="H622" s="26"/>
      <c r="J622" s="1" t="str">
        <f t="shared" ref="J622" si="824">CONCATENATE(J619,"3")</f>
        <v>53</v>
      </c>
      <c r="M622" s="1" t="e">
        <v>#VALUE!</v>
      </c>
      <c r="N622" s="1" t="e">
        <v>#VALUE!</v>
      </c>
      <c r="O622" s="1" t="e">
        <v>#VALUE!</v>
      </c>
      <c r="P622" s="1" t="e">
        <v>#VALUE!</v>
      </c>
      <c r="S622" s="1">
        <f t="shared" si="726"/>
        <v>11</v>
      </c>
      <c r="T622" s="1">
        <v>241</v>
      </c>
    </row>
    <row r="623" spans="1:20" x14ac:dyDescent="0.3">
      <c r="A623" s="1">
        <f t="shared" si="758"/>
        <v>11242</v>
      </c>
      <c r="B623" s="2" t="s">
        <v>26</v>
      </c>
      <c r="C623" s="2" t="s">
        <v>27</v>
      </c>
      <c r="D623" s="2" t="s">
        <v>28</v>
      </c>
      <c r="E623" s="28">
        <f t="shared" ref="E623" si="825">ABS(MIN(D624:D638))</f>
        <v>0.25</v>
      </c>
      <c r="F623" s="26"/>
      <c r="H623" s="26"/>
      <c r="J623" s="1">
        <f t="shared" ref="J623" si="826">J619-1</f>
        <v>4</v>
      </c>
      <c r="M623" s="1" t="s">
        <v>2</v>
      </c>
      <c r="N623" s="1" t="s">
        <v>3</v>
      </c>
      <c r="O623" s="1" t="s">
        <v>4</v>
      </c>
      <c r="P623" s="1" t="s">
        <v>5</v>
      </c>
      <c r="S623" s="1">
        <f t="shared" si="726"/>
        <v>11</v>
      </c>
      <c r="T623" s="1">
        <v>242</v>
      </c>
    </row>
    <row r="624" spans="1:20" x14ac:dyDescent="0.3">
      <c r="A624" s="1">
        <f t="shared" si="758"/>
        <v>11243</v>
      </c>
      <c r="B624" s="2">
        <f t="shared" ref="B624:B638" si="827">C598-B598</f>
        <v>0.23000000000001819</v>
      </c>
      <c r="C624" s="2">
        <f t="shared" ref="C624:C638" si="828">H598-G598</f>
        <v>0</v>
      </c>
      <c r="D624" s="2">
        <f t="shared" ref="D624:D638" si="829">C624-B624</f>
        <v>-0.23000000000001819</v>
      </c>
      <c r="E624" s="28">
        <f t="shared" ref="E624" si="830">ABS(MAX(D624:D638))</f>
        <v>0</v>
      </c>
      <c r="F624" s="26"/>
      <c r="H624" s="26"/>
      <c r="J624" s="1" t="str">
        <f t="shared" ref="J624" si="831">CONCATENATE(J623,"1")</f>
        <v>41</v>
      </c>
      <c r="M624" s="1" t="e">
        <f t="array" ref="M624:P626">LINEST($B598:$B603,$C598:$C603^{1,2,3},TRUE,TRUE)</f>
        <v>#VALUE!</v>
      </c>
      <c r="N624" s="1" t="e">
        <v>#VALUE!</v>
      </c>
      <c r="O624" s="1" t="e">
        <v>#VALUE!</v>
      </c>
      <c r="P624" s="1" t="e">
        <v>#VALUE!</v>
      </c>
      <c r="S624" s="1">
        <f t="shared" si="726"/>
        <v>11</v>
      </c>
      <c r="T624" s="1">
        <v>243</v>
      </c>
    </row>
    <row r="625" spans="1:20" x14ac:dyDescent="0.3">
      <c r="A625" s="1">
        <f t="shared" si="758"/>
        <v>11244</v>
      </c>
      <c r="B625" s="2">
        <f t="shared" si="827"/>
        <v>0.25</v>
      </c>
      <c r="C625" s="2">
        <f t="shared" si="828"/>
        <v>0</v>
      </c>
      <c r="D625" s="2">
        <f t="shared" si="829"/>
        <v>-0.25</v>
      </c>
      <c r="E625" s="29" t="s">
        <v>32</v>
      </c>
      <c r="F625" s="26"/>
      <c r="H625" s="26"/>
      <c r="J625" s="1" t="str">
        <f t="shared" ref="J625" si="832">CONCATENATE(J623,"2")</f>
        <v>42</v>
      </c>
      <c r="M625" s="1" t="e">
        <v>#VALUE!</v>
      </c>
      <c r="N625" s="1" t="e">
        <v>#VALUE!</v>
      </c>
      <c r="O625" s="1" t="e">
        <v>#VALUE!</v>
      </c>
      <c r="P625" s="1" t="e">
        <v>#VALUE!</v>
      </c>
      <c r="S625" s="1">
        <f t="shared" ref="S625:S688" si="833">S624</f>
        <v>11</v>
      </c>
      <c r="T625" s="1">
        <v>244</v>
      </c>
    </row>
    <row r="626" spans="1:20" x14ac:dyDescent="0.3">
      <c r="A626" s="1">
        <f t="shared" si="758"/>
        <v>11245</v>
      </c>
      <c r="B626" s="2">
        <f t="shared" si="827"/>
        <v>0.25</v>
      </c>
      <c r="C626" s="2">
        <f t="shared" si="828"/>
        <v>0</v>
      </c>
      <c r="D626" s="2">
        <f t="shared" si="829"/>
        <v>-0.25</v>
      </c>
      <c r="E626" s="27">
        <f t="shared" ref="E626" si="834">IF(D584="","",MAX(E627,E628))</f>
        <v>0.25</v>
      </c>
      <c r="F626" s="26"/>
      <c r="H626" s="26"/>
      <c r="J626" s="1" t="str">
        <f t="shared" ref="J626" si="835">CONCATENATE(J623,"3")</f>
        <v>43</v>
      </c>
      <c r="M626" s="1" t="e">
        <v>#VALUE!</v>
      </c>
      <c r="N626" s="1" t="e">
        <v>#VALUE!</v>
      </c>
      <c r="O626" s="1" t="e">
        <v>#VALUE!</v>
      </c>
      <c r="P626" s="1" t="e">
        <v>#VALUE!</v>
      </c>
      <c r="S626" s="1">
        <f t="shared" si="833"/>
        <v>11</v>
      </c>
      <c r="T626" s="1">
        <v>245</v>
      </c>
    </row>
    <row r="627" spans="1:20" x14ac:dyDescent="0.3">
      <c r="A627" s="1">
        <f t="shared" si="758"/>
        <v>11246</v>
      </c>
      <c r="B627" s="2">
        <f t="shared" si="827"/>
        <v>0</v>
      </c>
      <c r="C627" s="2">
        <f t="shared" si="828"/>
        <v>0</v>
      </c>
      <c r="D627" s="2">
        <f t="shared" si="829"/>
        <v>0</v>
      </c>
      <c r="E627" s="28">
        <f t="shared" ref="E627" si="836">ABS(MIN(B624:B638))</f>
        <v>0</v>
      </c>
      <c r="F627" s="26"/>
      <c r="H627" s="26"/>
      <c r="J627" s="1">
        <f t="shared" ref="J627" si="837">J623-1</f>
        <v>3</v>
      </c>
      <c r="M627" s="1" t="s">
        <v>2</v>
      </c>
      <c r="N627" s="1" t="s">
        <v>3</v>
      </c>
      <c r="O627" s="1" t="s">
        <v>4</v>
      </c>
      <c r="P627" s="1" t="s">
        <v>5</v>
      </c>
      <c r="S627" s="1">
        <f t="shared" si="833"/>
        <v>11</v>
      </c>
      <c r="T627" s="1">
        <v>246</v>
      </c>
    </row>
    <row r="628" spans="1:20" x14ac:dyDescent="0.3">
      <c r="A628" s="1">
        <f t="shared" si="758"/>
        <v>11247</v>
      </c>
      <c r="B628" s="2">
        <f t="shared" si="827"/>
        <v>0</v>
      </c>
      <c r="C628" s="2">
        <f t="shared" si="828"/>
        <v>0</v>
      </c>
      <c r="D628" s="2">
        <f t="shared" si="829"/>
        <v>0</v>
      </c>
      <c r="E628" s="28">
        <f t="shared" ref="E628" si="838">ABS(MAX(B624:B638))</f>
        <v>0.25</v>
      </c>
      <c r="F628" s="26"/>
      <c r="H628" s="26"/>
      <c r="J628" s="1" t="str">
        <f t="shared" ref="J628" si="839">CONCATENATE(J627,"1")</f>
        <v>31</v>
      </c>
      <c r="M628" s="1" t="e">
        <f t="array" ref="M628:P630">LINEST($B598:$B602,$C598:$C602^{1,2,3},TRUE,TRUE)</f>
        <v>#VALUE!</v>
      </c>
      <c r="N628" s="1" t="e">
        <v>#VALUE!</v>
      </c>
      <c r="O628" s="1" t="e">
        <v>#VALUE!</v>
      </c>
      <c r="P628" s="1" t="e">
        <v>#VALUE!</v>
      </c>
      <c r="S628" s="1">
        <f t="shared" si="833"/>
        <v>11</v>
      </c>
      <c r="T628" s="1">
        <v>247</v>
      </c>
    </row>
    <row r="629" spans="1:20" x14ac:dyDescent="0.3">
      <c r="A629" s="1">
        <f t="shared" si="758"/>
        <v>11248</v>
      </c>
      <c r="B629" s="2">
        <f t="shared" si="827"/>
        <v>0</v>
      </c>
      <c r="C629" s="2">
        <f t="shared" si="828"/>
        <v>0</v>
      </c>
      <c r="D629" s="2">
        <f t="shared" si="829"/>
        <v>0</v>
      </c>
      <c r="E629" s="29" t="s">
        <v>33</v>
      </c>
      <c r="F629" s="26"/>
      <c r="J629" s="1" t="str">
        <f t="shared" ref="J629" si="840">CONCATENATE(J627,"2")</f>
        <v>32</v>
      </c>
      <c r="M629" s="1" t="e">
        <v>#VALUE!</v>
      </c>
      <c r="N629" s="1" t="e">
        <v>#VALUE!</v>
      </c>
      <c r="O629" s="1" t="e">
        <v>#VALUE!</v>
      </c>
      <c r="P629" s="1" t="e">
        <v>#VALUE!</v>
      </c>
      <c r="S629" s="1">
        <f t="shared" si="833"/>
        <v>11</v>
      </c>
      <c r="T629" s="1">
        <v>248</v>
      </c>
    </row>
    <row r="630" spans="1:20" x14ac:dyDescent="0.3">
      <c r="A630" s="1">
        <f t="shared" si="758"/>
        <v>11249</v>
      </c>
      <c r="B630" s="2">
        <f t="shared" si="827"/>
        <v>0</v>
      </c>
      <c r="C630" s="2">
        <f t="shared" si="828"/>
        <v>0</v>
      </c>
      <c r="D630" s="2">
        <f t="shared" si="829"/>
        <v>0</v>
      </c>
      <c r="E630" s="27">
        <f t="shared" ref="E630" si="841">IF(D584="","",MAX(E631,E632))</f>
        <v>0.12</v>
      </c>
      <c r="F630" s="26"/>
      <c r="J630" s="1" t="str">
        <f t="shared" ref="J630" si="842">CONCATENATE(J627,"3")</f>
        <v>33</v>
      </c>
      <c r="M630" s="1" t="e">
        <v>#VALUE!</v>
      </c>
      <c r="N630" s="1" t="e">
        <v>#VALUE!</v>
      </c>
      <c r="O630" s="1" t="e">
        <v>#VALUE!</v>
      </c>
      <c r="P630" s="1" t="e">
        <v>#VALUE!</v>
      </c>
      <c r="S630" s="1">
        <f t="shared" si="833"/>
        <v>11</v>
      </c>
      <c r="T630" s="1">
        <v>249</v>
      </c>
    </row>
    <row r="631" spans="1:20" x14ac:dyDescent="0.3">
      <c r="A631" s="1">
        <f t="shared" si="758"/>
        <v>11250</v>
      </c>
      <c r="B631" s="2">
        <f t="shared" si="827"/>
        <v>0</v>
      </c>
      <c r="C631" s="2">
        <f t="shared" si="828"/>
        <v>0</v>
      </c>
      <c r="D631" s="2">
        <f t="shared" si="829"/>
        <v>0</v>
      </c>
      <c r="E631" s="28">
        <f t="shared" ref="E631" si="843">ABS(MIN(D598:D612))</f>
        <v>0.12</v>
      </c>
      <c r="F631" s="26"/>
      <c r="J631" s="1">
        <f t="shared" ref="J631" si="844">J627-1</f>
        <v>2</v>
      </c>
      <c r="N631" s="1" t="s">
        <v>3</v>
      </c>
      <c r="O631" s="1" t="s">
        <v>4</v>
      </c>
      <c r="P631" s="1" t="s">
        <v>5</v>
      </c>
      <c r="S631" s="1">
        <f t="shared" si="833"/>
        <v>11</v>
      </c>
      <c r="T631" s="1">
        <v>250</v>
      </c>
    </row>
    <row r="632" spans="1:20" x14ac:dyDescent="0.3">
      <c r="A632" s="1">
        <f t="shared" si="758"/>
        <v>11251</v>
      </c>
      <c r="B632" s="2">
        <f t="shared" si="827"/>
        <v>0</v>
      </c>
      <c r="C632" s="2">
        <f t="shared" si="828"/>
        <v>0</v>
      </c>
      <c r="D632" s="2">
        <f t="shared" si="829"/>
        <v>0</v>
      </c>
      <c r="E632" s="28">
        <f t="shared" ref="E632" si="845">ABS(MAX(D598:D612))</f>
        <v>0.12</v>
      </c>
      <c r="F632" s="26"/>
      <c r="J632" s="1" t="str">
        <f t="shared" ref="J632" si="846">CONCATENATE(J631,"1")</f>
        <v>21</v>
      </c>
      <c r="N632" s="1" t="e">
        <f t="array" ref="N632:P634">LINEST($B598:$B601,$C598:$C601^{1,2},TRUE,TRUE)</f>
        <v>#VALUE!</v>
      </c>
      <c r="O632" s="1" t="e">
        <v>#VALUE!</v>
      </c>
      <c r="P632" s="1" t="e">
        <v>#VALUE!</v>
      </c>
      <c r="S632" s="1">
        <f t="shared" si="833"/>
        <v>11</v>
      </c>
      <c r="T632" s="1">
        <v>251</v>
      </c>
    </row>
    <row r="633" spans="1:20" x14ac:dyDescent="0.3">
      <c r="A633" s="1">
        <f t="shared" si="758"/>
        <v>11252</v>
      </c>
      <c r="B633" s="2">
        <f t="shared" si="827"/>
        <v>0</v>
      </c>
      <c r="C633" s="2">
        <f t="shared" si="828"/>
        <v>0</v>
      </c>
      <c r="D633" s="2">
        <f t="shared" si="829"/>
        <v>0</v>
      </c>
      <c r="E633" s="26"/>
      <c r="F633" s="26"/>
      <c r="J633" s="1" t="str">
        <f t="shared" ref="J633" si="847">CONCATENATE(J631,"2")</f>
        <v>22</v>
      </c>
      <c r="N633" s="1" t="e">
        <v>#VALUE!</v>
      </c>
      <c r="O633" s="1" t="e">
        <v>#VALUE!</v>
      </c>
      <c r="P633" s="1" t="e">
        <v>#VALUE!</v>
      </c>
      <c r="S633" s="1">
        <f t="shared" si="833"/>
        <v>11</v>
      </c>
      <c r="T633" s="1">
        <v>252</v>
      </c>
    </row>
    <row r="634" spans="1:20" x14ac:dyDescent="0.3">
      <c r="A634" s="1">
        <f t="shared" si="758"/>
        <v>11253</v>
      </c>
      <c r="B634" s="2">
        <f t="shared" si="827"/>
        <v>0</v>
      </c>
      <c r="C634" s="2">
        <f t="shared" si="828"/>
        <v>0</v>
      </c>
      <c r="D634" s="2">
        <f t="shared" si="829"/>
        <v>0</v>
      </c>
      <c r="E634" s="26"/>
      <c r="F634" s="26"/>
      <c r="J634" s="1" t="str">
        <f t="shared" ref="J634" si="848">CONCATENATE(J631,"3")</f>
        <v>23</v>
      </c>
      <c r="N634" s="1" t="e">
        <v>#VALUE!</v>
      </c>
      <c r="O634" s="1" t="e">
        <v>#VALUE!</v>
      </c>
      <c r="P634" s="1" t="e">
        <v>#VALUE!</v>
      </c>
      <c r="S634" s="1">
        <f t="shared" si="833"/>
        <v>11</v>
      </c>
      <c r="T634" s="1">
        <v>253</v>
      </c>
    </row>
    <row r="635" spans="1:20" x14ac:dyDescent="0.3">
      <c r="A635" s="1">
        <f t="shared" si="758"/>
        <v>11254</v>
      </c>
      <c r="B635" s="2">
        <f t="shared" si="827"/>
        <v>0</v>
      </c>
      <c r="C635" s="2">
        <f t="shared" si="828"/>
        <v>0</v>
      </c>
      <c r="D635" s="2">
        <f t="shared" si="829"/>
        <v>0</v>
      </c>
      <c r="E635" s="26"/>
      <c r="F635" s="26"/>
      <c r="J635" s="1">
        <f t="shared" ref="J635" si="849">J631-1</f>
        <v>1</v>
      </c>
      <c r="O635" s="1" t="s">
        <v>4</v>
      </c>
      <c r="P635" s="1" t="s">
        <v>5</v>
      </c>
      <c r="S635" s="1">
        <f t="shared" si="833"/>
        <v>11</v>
      </c>
      <c r="T635" s="1">
        <v>254</v>
      </c>
    </row>
    <row r="636" spans="1:20" x14ac:dyDescent="0.3">
      <c r="A636" s="1">
        <f t="shared" si="758"/>
        <v>11255</v>
      </c>
      <c r="B636" s="2">
        <f t="shared" si="827"/>
        <v>0</v>
      </c>
      <c r="C636" s="2">
        <f t="shared" si="828"/>
        <v>0</v>
      </c>
      <c r="D636" s="2">
        <f t="shared" si="829"/>
        <v>0</v>
      </c>
      <c r="E636" s="26"/>
      <c r="F636" s="26"/>
      <c r="J636" s="1" t="str">
        <f t="shared" ref="J636" si="850">CONCATENATE(J635,"1")</f>
        <v>11</v>
      </c>
      <c r="O636" s="1">
        <f t="array" ref="O636:P638">LINEST($B598:$B600,$C598:$C600^{1},TRUE,TRUE)</f>
        <v>0.9995000000000005</v>
      </c>
      <c r="P636" s="1">
        <v>0.22166666666623769</v>
      </c>
      <c r="S636" s="1">
        <f t="shared" si="833"/>
        <v>11</v>
      </c>
      <c r="T636" s="1">
        <v>255</v>
      </c>
    </row>
    <row r="637" spans="1:20" x14ac:dyDescent="0.3">
      <c r="A637" s="1">
        <f t="shared" si="758"/>
        <v>11256</v>
      </c>
      <c r="B637" s="2">
        <f t="shared" si="827"/>
        <v>0</v>
      </c>
      <c r="C637" s="2">
        <f t="shared" si="828"/>
        <v>0</v>
      </c>
      <c r="D637" s="2">
        <f t="shared" si="829"/>
        <v>0</v>
      </c>
      <c r="E637" s="26"/>
      <c r="F637" s="26"/>
      <c r="J637" s="1" t="str">
        <f t="shared" ref="J637" si="851">CONCATENATE(J635,"2")</f>
        <v>12</v>
      </c>
      <c r="O637" s="1">
        <v>2.8867513459460956E-4</v>
      </c>
      <c r="P637" s="1">
        <v>0.26850925909942219</v>
      </c>
      <c r="S637" s="1">
        <f t="shared" si="833"/>
        <v>11</v>
      </c>
      <c r="T637" s="1">
        <v>256</v>
      </c>
    </row>
    <row r="638" spans="1:20" x14ac:dyDescent="0.3">
      <c r="A638" s="1">
        <f t="shared" si="758"/>
        <v>11257</v>
      </c>
      <c r="B638" s="2">
        <f t="shared" si="827"/>
        <v>0</v>
      </c>
      <c r="C638" s="2">
        <f t="shared" si="828"/>
        <v>0</v>
      </c>
      <c r="D638" s="2">
        <f t="shared" si="829"/>
        <v>0</v>
      </c>
      <c r="E638" s="30"/>
      <c r="F638" s="30"/>
      <c r="J638" s="1" t="str">
        <f t="shared" ref="J638" si="852">CONCATENATE(J635,"3")</f>
        <v>13</v>
      </c>
      <c r="O638" s="1">
        <v>0.9999999165832778</v>
      </c>
      <c r="P638" s="1">
        <v>8.1649658092715072E-3</v>
      </c>
      <c r="S638" s="1">
        <f t="shared" si="833"/>
        <v>11</v>
      </c>
      <c r="T638" s="1">
        <v>257</v>
      </c>
    </row>
    <row r="639" spans="1:20" s="8" customFormat="1" x14ac:dyDescent="0.3"/>
    <row r="640" spans="1:20" x14ac:dyDescent="0.3">
      <c r="A640" s="1">
        <f t="shared" ref="A640:A696" si="853">ROUND(CONCATENATE(S640,T640),0)</f>
        <v>12201</v>
      </c>
      <c r="B640" s="57" t="s">
        <v>0</v>
      </c>
      <c r="C640" s="57"/>
      <c r="D640" s="56"/>
      <c r="E640" s="56"/>
      <c r="F640" s="56"/>
      <c r="G640" s="56"/>
      <c r="H640" s="56"/>
      <c r="L640" s="1">
        <v>1</v>
      </c>
      <c r="M640" s="1">
        <v>2</v>
      </c>
      <c r="N640" s="1">
        <v>3</v>
      </c>
      <c r="O640" s="1">
        <v>4</v>
      </c>
      <c r="P640" s="1">
        <v>5</v>
      </c>
      <c r="Q640" s="1">
        <v>6</v>
      </c>
      <c r="R640" s="1">
        <v>7</v>
      </c>
      <c r="S640" s="1">
        <f t="shared" ref="S640" si="854">S638+1</f>
        <v>12</v>
      </c>
      <c r="T640" s="1">
        <v>201</v>
      </c>
    </row>
    <row r="641" spans="1:20" x14ac:dyDescent="0.3">
      <c r="A641" s="1">
        <f t="shared" si="853"/>
        <v>12202</v>
      </c>
      <c r="B641" s="57"/>
      <c r="C641" s="57"/>
      <c r="D641" s="57"/>
      <c r="E641" s="57"/>
      <c r="F641" s="57"/>
      <c r="G641" s="57"/>
      <c r="H641" s="57"/>
      <c r="K641" s="2" t="s">
        <v>1</v>
      </c>
      <c r="L641" s="2"/>
      <c r="M641" s="2" t="s">
        <v>2</v>
      </c>
      <c r="N641" s="2" t="s">
        <v>3</v>
      </c>
      <c r="O641" s="2" t="s">
        <v>4</v>
      </c>
      <c r="P641" s="2" t="s">
        <v>5</v>
      </c>
      <c r="S641" s="1">
        <f t="shared" ref="S641" si="855">S640</f>
        <v>12</v>
      </c>
      <c r="T641" s="1">
        <v>202</v>
      </c>
    </row>
    <row r="642" spans="1:20" x14ac:dyDescent="0.3">
      <c r="A642" s="1">
        <f t="shared" si="853"/>
        <v>12203</v>
      </c>
      <c r="B642" s="64" t="s">
        <v>6</v>
      </c>
      <c r="C642" s="64"/>
      <c r="D642" s="56"/>
      <c r="E642" s="56"/>
      <c r="F642" s="56"/>
      <c r="G642" s="56"/>
      <c r="H642" s="56"/>
      <c r="K642" s="3">
        <f t="shared" ref="K642" ca="1" si="856">IF(K644&gt;=3,N644,LOOKUP(15-($B671+1),M640:R640,M644:P644))</f>
        <v>0</v>
      </c>
      <c r="L642" s="2" t="str">
        <f t="shared" ref="L642" si="857">CONCATENATE($B671,"1")</f>
        <v>-21</v>
      </c>
      <c r="M642" s="2" t="e">
        <f t="shared" ref="M642" si="858">VLOOKUP(L642,J645:P696,O640,FALSE)</f>
        <v>#N/A</v>
      </c>
      <c r="N642" s="2" t="e">
        <f t="shared" ref="N642" si="859">VLOOKUP(L642,J645:P696,P640,FALSE)</f>
        <v>#N/A</v>
      </c>
      <c r="O642" s="2" t="e">
        <f t="shared" ref="O642" si="860">VLOOKUP(L642,J645:P696,Q640,FALSE)</f>
        <v>#N/A</v>
      </c>
      <c r="P642" s="2" t="e">
        <f t="shared" ref="P642" si="861">VLOOKUP(L642,J645:P696,R640,FALSE)</f>
        <v>#N/A</v>
      </c>
      <c r="S642" s="1">
        <f t="shared" si="833"/>
        <v>12</v>
      </c>
      <c r="T642" s="1">
        <v>203</v>
      </c>
    </row>
    <row r="643" spans="1:20" x14ac:dyDescent="0.3">
      <c r="A643" s="1">
        <f t="shared" si="853"/>
        <v>12204</v>
      </c>
      <c r="B643" s="57" t="s">
        <v>7</v>
      </c>
      <c r="C643" s="57"/>
      <c r="D643" s="56"/>
      <c r="E643" s="56"/>
      <c r="F643" s="56"/>
      <c r="G643" s="56"/>
      <c r="H643" s="56"/>
      <c r="K643" s="2" t="s">
        <v>8</v>
      </c>
      <c r="L643" s="2" t="str">
        <f t="shared" ref="L643" si="862">CONCATENATE($B671,"2")</f>
        <v>-22</v>
      </c>
      <c r="M643" s="2" t="e">
        <f t="shared" ref="M643" si="863">VLOOKUP(L643,J645:P696,O640,FALSE)</f>
        <v>#N/A</v>
      </c>
      <c r="N643" s="2" t="e">
        <f t="shared" ref="N643" si="864">VLOOKUP(L643,J645:P696,P640,FALSE)</f>
        <v>#N/A</v>
      </c>
      <c r="O643" s="2" t="e">
        <f t="shared" ref="O643" si="865">VLOOKUP(L643,J645:P696,Q640,FALSE)</f>
        <v>#N/A</v>
      </c>
      <c r="P643" s="2" t="e">
        <f t="shared" ref="P643" si="866">VLOOKUP(L643,J645:P696,R640,FALSE)</f>
        <v>#N/A</v>
      </c>
      <c r="S643" s="1">
        <f t="shared" si="833"/>
        <v>12</v>
      </c>
      <c r="T643" s="1">
        <v>204</v>
      </c>
    </row>
    <row r="644" spans="1:20" x14ac:dyDescent="0.3">
      <c r="A644" s="1">
        <f t="shared" si="853"/>
        <v>12205</v>
      </c>
      <c r="B644" s="57" t="s">
        <v>9</v>
      </c>
      <c r="C644" s="57"/>
      <c r="D644" s="56"/>
      <c r="E644" s="56"/>
      <c r="F644" s="56"/>
      <c r="G644" s="56"/>
      <c r="H644" s="56"/>
      <c r="K644" s="3">
        <f t="shared" ref="K644" si="867">IF(B671&gt;3,3,B671)</f>
        <v>-2</v>
      </c>
      <c r="L644" s="2" t="str">
        <f t="shared" ref="L644" si="868">CONCATENATE($B671,"3")</f>
        <v>-23</v>
      </c>
      <c r="M644" s="2" t="e">
        <f t="shared" ref="M644" si="869">VLOOKUP(L644,J645:P696,O640,FALSE)</f>
        <v>#N/A</v>
      </c>
      <c r="N644" s="2" t="e">
        <f t="shared" ref="N644" si="870">VLOOKUP(L644,J645:P696,P640,FALSE)</f>
        <v>#N/A</v>
      </c>
      <c r="O644" s="2" t="e">
        <f t="shared" ref="O644" si="871">VLOOKUP(L644,J645:P696,Q640,FALSE)</f>
        <v>#N/A</v>
      </c>
      <c r="P644" s="2" t="e">
        <f t="shared" ref="P644" si="872">VLOOKUP(L644,J645:P696,R640,FALSE)</f>
        <v>#N/A</v>
      </c>
      <c r="S644" s="1">
        <f t="shared" si="833"/>
        <v>12</v>
      </c>
      <c r="T644" s="1">
        <v>205</v>
      </c>
    </row>
    <row r="645" spans="1:20" x14ac:dyDescent="0.3">
      <c r="A645" s="1">
        <f t="shared" si="853"/>
        <v>12206</v>
      </c>
      <c r="B645" s="57" t="s">
        <v>10</v>
      </c>
      <c r="C645" s="57"/>
      <c r="D645" s="62"/>
      <c r="E645" s="56"/>
      <c r="F645" s="56"/>
      <c r="G645" s="56"/>
      <c r="H645" s="56"/>
      <c r="J645" s="1">
        <v>13</v>
      </c>
      <c r="M645" s="1" t="s">
        <v>2</v>
      </c>
      <c r="N645" s="1" t="s">
        <v>3</v>
      </c>
      <c r="O645" s="1" t="s">
        <v>4</v>
      </c>
      <c r="P645" s="1" t="s">
        <v>5</v>
      </c>
      <c r="S645" s="1">
        <f t="shared" si="833"/>
        <v>12</v>
      </c>
      <c r="T645" s="1">
        <v>206</v>
      </c>
    </row>
    <row r="646" spans="1:20" x14ac:dyDescent="0.3">
      <c r="A646" s="1">
        <f t="shared" si="853"/>
        <v>12207</v>
      </c>
      <c r="B646" s="57" t="s">
        <v>11</v>
      </c>
      <c r="C646" s="57"/>
      <c r="D646" s="63"/>
      <c r="E646" s="63"/>
      <c r="F646" s="63"/>
      <c r="G646" s="63"/>
      <c r="H646" s="63"/>
      <c r="J646" s="1" t="str">
        <f t="shared" ref="J646" si="873">CONCATENATE(J645,"1")</f>
        <v>131</v>
      </c>
      <c r="M646" s="1" t="e">
        <f t="array" ref="M646:P648">LINEST($B656:$B670,$C656:$C670^{1,2,3},TRUE,TRUE)</f>
        <v>#VALUE!</v>
      </c>
      <c r="N646" s="1" t="e">
        <v>#VALUE!</v>
      </c>
      <c r="O646" s="1" t="e">
        <v>#VALUE!</v>
      </c>
      <c r="P646" s="1" t="e">
        <v>#VALUE!</v>
      </c>
      <c r="S646" s="1">
        <f t="shared" si="833"/>
        <v>12</v>
      </c>
      <c r="T646" s="1">
        <v>207</v>
      </c>
    </row>
    <row r="647" spans="1:20" x14ac:dyDescent="0.3">
      <c r="A647" s="1">
        <f t="shared" si="853"/>
        <v>12208</v>
      </c>
      <c r="B647" s="57" t="s">
        <v>12</v>
      </c>
      <c r="C647" s="57"/>
      <c r="D647" s="58"/>
      <c r="E647" s="58"/>
      <c r="F647" s="58"/>
      <c r="G647" s="58"/>
      <c r="H647" s="58"/>
      <c r="J647" s="1" t="str">
        <f t="shared" ref="J647" si="874">CONCATENATE(J645,"2")</f>
        <v>132</v>
      </c>
      <c r="M647" s="1" t="e">
        <v>#VALUE!</v>
      </c>
      <c r="N647" s="1" t="e">
        <v>#VALUE!</v>
      </c>
      <c r="O647" s="1" t="e">
        <v>#VALUE!</v>
      </c>
      <c r="P647" s="1" t="e">
        <v>#VALUE!</v>
      </c>
      <c r="S647" s="1">
        <f t="shared" si="833"/>
        <v>12</v>
      </c>
      <c r="T647" s="1">
        <v>208</v>
      </c>
    </row>
    <row r="648" spans="1:20" x14ac:dyDescent="0.3">
      <c r="A648" s="1">
        <f t="shared" si="853"/>
        <v>12209</v>
      </c>
      <c r="B648" s="57" t="s">
        <v>13</v>
      </c>
      <c r="C648" s="57"/>
      <c r="D648" s="9"/>
      <c r="E648" s="54" t="s">
        <v>14</v>
      </c>
      <c r="F648" s="54"/>
      <c r="G648" s="54"/>
      <c r="H648" s="9"/>
      <c r="J648" s="1" t="str">
        <f t="shared" ref="J648" si="875">CONCATENATE(J645,"3")</f>
        <v>133</v>
      </c>
      <c r="M648" s="1" t="e">
        <v>#VALUE!</v>
      </c>
      <c r="N648" s="1" t="e">
        <v>#VALUE!</v>
      </c>
      <c r="O648" s="1" t="e">
        <v>#VALUE!</v>
      </c>
      <c r="P648" s="1" t="e">
        <v>#VALUE!</v>
      </c>
      <c r="S648" s="1">
        <f t="shared" si="833"/>
        <v>12</v>
      </c>
      <c r="T648" s="1">
        <v>209</v>
      </c>
    </row>
    <row r="649" spans="1:20" x14ac:dyDescent="0.3">
      <c r="A649" s="1">
        <f t="shared" si="853"/>
        <v>12210</v>
      </c>
      <c r="B649" s="57" t="s">
        <v>15</v>
      </c>
      <c r="C649" s="57"/>
      <c r="D649" s="2">
        <f t="shared" ref="D649" si="876">MIN(B656:B670)</f>
        <v>0</v>
      </c>
      <c r="E649" s="4" t="s">
        <v>16</v>
      </c>
      <c r="F649" s="2">
        <f t="shared" ref="F649" si="877">MAX(B656:B670)</f>
        <v>0</v>
      </c>
      <c r="G649" s="5" t="str">
        <f t="shared" ref="G649" si="878">IF(H648="","",H648)</f>
        <v/>
      </c>
      <c r="H649" s="23"/>
      <c r="J649" s="1">
        <f t="shared" ref="J649" si="879">J645-1</f>
        <v>12</v>
      </c>
      <c r="M649" s="1" t="s">
        <v>2</v>
      </c>
      <c r="N649" s="1" t="s">
        <v>3</v>
      </c>
      <c r="O649" s="1" t="s">
        <v>4</v>
      </c>
      <c r="P649" s="1" t="s">
        <v>5</v>
      </c>
      <c r="S649" s="1">
        <f t="shared" si="833"/>
        <v>12</v>
      </c>
      <c r="T649" s="1">
        <v>210</v>
      </c>
    </row>
    <row r="650" spans="1:20" x14ac:dyDescent="0.3">
      <c r="A650" s="1">
        <f t="shared" si="853"/>
        <v>12211</v>
      </c>
      <c r="J650" s="1" t="str">
        <f t="shared" ref="J650" si="880">CONCATENATE(J649,"1")</f>
        <v>121</v>
      </c>
      <c r="M650" s="1" t="e">
        <f t="array" ref="M650:P652">LINEST($B656:$B669,$C656:$C669^{1,2,3},TRUE,TRUE)</f>
        <v>#VALUE!</v>
      </c>
      <c r="N650" s="1" t="e">
        <v>#VALUE!</v>
      </c>
      <c r="O650" s="1" t="e">
        <v>#VALUE!</v>
      </c>
      <c r="P650" s="1" t="e">
        <v>#VALUE!</v>
      </c>
      <c r="S650" s="1">
        <f t="shared" si="833"/>
        <v>12</v>
      </c>
      <c r="T650" s="1">
        <v>211</v>
      </c>
    </row>
    <row r="651" spans="1:20" x14ac:dyDescent="0.3">
      <c r="A651" s="1">
        <f t="shared" si="853"/>
        <v>12212</v>
      </c>
      <c r="B651" s="59" t="s">
        <v>17</v>
      </c>
      <c r="C651" s="59"/>
      <c r="D651" s="59"/>
      <c r="E651" s="59"/>
      <c r="F651" s="59"/>
      <c r="G651" s="60" t="s">
        <v>29</v>
      </c>
      <c r="H651" s="61"/>
      <c r="J651" s="1" t="str">
        <f t="shared" ref="J651" si="881">CONCATENATE(J649,"2")</f>
        <v>122</v>
      </c>
      <c r="M651" s="1" t="e">
        <v>#VALUE!</v>
      </c>
      <c r="N651" s="1" t="e">
        <v>#VALUE!</v>
      </c>
      <c r="O651" s="1" t="e">
        <v>#VALUE!</v>
      </c>
      <c r="P651" s="1" t="e">
        <v>#VALUE!</v>
      </c>
      <c r="S651" s="1">
        <f t="shared" si="833"/>
        <v>12</v>
      </c>
      <c r="T651" s="1">
        <v>212</v>
      </c>
    </row>
    <row r="652" spans="1:20" x14ac:dyDescent="0.3">
      <c r="A652" s="1">
        <f t="shared" si="853"/>
        <v>12213</v>
      </c>
      <c r="B652" s="54" t="s">
        <v>18</v>
      </c>
      <c r="C652" s="54"/>
      <c r="D652" s="54"/>
      <c r="E652" s="54" t="str">
        <f t="shared" ref="E652" si="882">IF(D645="","",D645)</f>
        <v/>
      </c>
      <c r="F652" s="54"/>
      <c r="G652" s="5" t="s">
        <v>18</v>
      </c>
      <c r="H652" s="20"/>
      <c r="J652" s="1" t="str">
        <f t="shared" ref="J652" si="883">CONCATENATE(J649,"3")</f>
        <v>123</v>
      </c>
      <c r="M652" s="1" t="e">
        <v>#VALUE!</v>
      </c>
      <c r="N652" s="1" t="e">
        <v>#VALUE!</v>
      </c>
      <c r="O652" s="1" t="e">
        <v>#VALUE!</v>
      </c>
      <c r="P652" s="1" t="e">
        <v>#VALUE!</v>
      </c>
      <c r="S652" s="1">
        <f t="shared" si="833"/>
        <v>12</v>
      </c>
      <c r="T652" s="1">
        <v>213</v>
      </c>
    </row>
    <row r="653" spans="1:20" ht="15" customHeight="1" x14ac:dyDescent="0.3">
      <c r="A653" s="1">
        <f t="shared" si="853"/>
        <v>12214</v>
      </c>
      <c r="B653" s="6" t="s">
        <v>19</v>
      </c>
      <c r="C653" s="6" t="s">
        <v>20</v>
      </c>
      <c r="D653" s="6" t="s">
        <v>21</v>
      </c>
      <c r="E653" s="6"/>
      <c r="F653" s="55" t="s">
        <v>31</v>
      </c>
      <c r="G653" s="6" t="s">
        <v>19</v>
      </c>
      <c r="H653" s="6" t="s">
        <v>20</v>
      </c>
      <c r="J653" s="1">
        <f t="shared" ref="J653" si="884">J649-1</f>
        <v>11</v>
      </c>
      <c r="M653" s="1" t="s">
        <v>2</v>
      </c>
      <c r="N653" s="1" t="s">
        <v>3</v>
      </c>
      <c r="O653" s="1" t="s">
        <v>4</v>
      </c>
      <c r="P653" s="1" t="s">
        <v>5</v>
      </c>
      <c r="S653" s="1">
        <f t="shared" si="833"/>
        <v>12</v>
      </c>
      <c r="T653" s="1">
        <v>214</v>
      </c>
    </row>
    <row r="654" spans="1:20" x14ac:dyDescent="0.3">
      <c r="A654" s="1">
        <f t="shared" si="853"/>
        <v>12215</v>
      </c>
      <c r="B654" s="6" t="s">
        <v>22</v>
      </c>
      <c r="C654" s="6" t="s">
        <v>23</v>
      </c>
      <c r="D654" s="6" t="s">
        <v>24</v>
      </c>
      <c r="E654" s="6" t="s">
        <v>30</v>
      </c>
      <c r="F654" s="55"/>
      <c r="G654" s="6" t="s">
        <v>22</v>
      </c>
      <c r="H654" s="6" t="s">
        <v>23</v>
      </c>
      <c r="J654" s="1" t="str">
        <f t="shared" ref="J654" si="885">CONCATENATE(J653,"1")</f>
        <v>111</v>
      </c>
      <c r="M654" s="1" t="e">
        <f t="array" ref="M654:P656">LINEST($B656:$B668,$C656:$C668^{1,2,3},TRUE,TRUE)</f>
        <v>#VALUE!</v>
      </c>
      <c r="N654" s="1" t="e">
        <v>#VALUE!</v>
      </c>
      <c r="O654" s="1" t="e">
        <v>#VALUE!</v>
      </c>
      <c r="P654" s="1" t="e">
        <v>#VALUE!</v>
      </c>
      <c r="S654" s="1">
        <f t="shared" si="833"/>
        <v>12</v>
      </c>
      <c r="T654" s="1">
        <v>215</v>
      </c>
    </row>
    <row r="655" spans="1:20" x14ac:dyDescent="0.3">
      <c r="A655" s="1">
        <f t="shared" si="853"/>
        <v>12216</v>
      </c>
      <c r="B655" s="7" t="str">
        <f t="shared" ref="B655" si="886">IF(H648="","",H648)</f>
        <v/>
      </c>
      <c r="C655" s="7" t="str">
        <f t="shared" ref="C655" si="887">IF(H648="","",H648)</f>
        <v/>
      </c>
      <c r="D655" s="7" t="str">
        <f t="shared" ref="D655" si="888">IF(H648="","",H648)</f>
        <v/>
      </c>
      <c r="E655" s="7"/>
      <c r="F655" s="7" t="str">
        <f t="shared" ref="F655" si="889">IF(I648="","",I648)</f>
        <v/>
      </c>
      <c r="G655" s="7" t="str">
        <f t="shared" ref="G655" si="890">IF(H648="","",H648)</f>
        <v/>
      </c>
      <c r="H655" s="7" t="str">
        <f t="shared" ref="H655" si="891">IF(H648="","",H648)</f>
        <v/>
      </c>
      <c r="J655" s="1" t="str">
        <f t="shared" ref="J655" si="892">CONCATENATE(J653,"2")</f>
        <v>112</v>
      </c>
      <c r="M655" s="1" t="e">
        <v>#VALUE!</v>
      </c>
      <c r="N655" s="1" t="e">
        <v>#VALUE!</v>
      </c>
      <c r="O655" s="1" t="e">
        <v>#VALUE!</v>
      </c>
      <c r="P655" s="1" t="e">
        <v>#VALUE!</v>
      </c>
      <c r="S655" s="1">
        <f t="shared" si="833"/>
        <v>12</v>
      </c>
      <c r="T655" s="1">
        <v>216</v>
      </c>
    </row>
    <row r="656" spans="1:20" x14ac:dyDescent="0.3">
      <c r="A656" s="1">
        <f t="shared" si="853"/>
        <v>12217</v>
      </c>
      <c r="B656" s="24"/>
      <c r="C656" s="24"/>
      <c r="D656" s="24"/>
      <c r="E656" s="24"/>
      <c r="F656" s="24"/>
      <c r="G656" s="25"/>
      <c r="H656" s="25"/>
      <c r="J656" s="1" t="str">
        <f t="shared" ref="J656" si="893">CONCATENATE(J653,"3")</f>
        <v>113</v>
      </c>
      <c r="M656" s="1" t="e">
        <v>#VALUE!</v>
      </c>
      <c r="N656" s="1" t="e">
        <v>#VALUE!</v>
      </c>
      <c r="O656" s="1" t="e">
        <v>#VALUE!</v>
      </c>
      <c r="P656" s="1" t="e">
        <v>#VALUE!</v>
      </c>
      <c r="S656" s="1">
        <f t="shared" si="833"/>
        <v>12</v>
      </c>
      <c r="T656" s="1">
        <v>217</v>
      </c>
    </row>
    <row r="657" spans="1:20" x14ac:dyDescent="0.3">
      <c r="A657" s="1">
        <f t="shared" si="853"/>
        <v>12218</v>
      </c>
      <c r="B657" s="24"/>
      <c r="C657" s="24"/>
      <c r="D657" s="24"/>
      <c r="E657" s="24"/>
      <c r="F657" s="24"/>
      <c r="G657" s="25"/>
      <c r="H657" s="25"/>
      <c r="J657" s="1">
        <f t="shared" ref="J657" si="894">J653-1</f>
        <v>10</v>
      </c>
      <c r="M657" s="1" t="s">
        <v>2</v>
      </c>
      <c r="N657" s="1" t="s">
        <v>3</v>
      </c>
      <c r="O657" s="1" t="s">
        <v>4</v>
      </c>
      <c r="P657" s="1" t="s">
        <v>5</v>
      </c>
      <c r="S657" s="1">
        <f t="shared" si="833"/>
        <v>12</v>
      </c>
      <c r="T657" s="1">
        <v>218</v>
      </c>
    </row>
    <row r="658" spans="1:20" x14ac:dyDescent="0.3">
      <c r="A658" s="1">
        <f t="shared" si="853"/>
        <v>12219</v>
      </c>
      <c r="B658" s="24"/>
      <c r="C658" s="24"/>
      <c r="D658" s="24"/>
      <c r="E658" s="24"/>
      <c r="F658" s="24"/>
      <c r="G658" s="25"/>
      <c r="H658" s="25"/>
      <c r="J658" s="1" t="str">
        <f t="shared" ref="J658" si="895">CONCATENATE(J657,"1")</f>
        <v>101</v>
      </c>
      <c r="M658" s="1" t="e">
        <f t="array" ref="M658:P660">LINEST($B656:$B667,$C656:$C667^{1,2,3},TRUE,TRUE)</f>
        <v>#VALUE!</v>
      </c>
      <c r="N658" s="1" t="e">
        <v>#VALUE!</v>
      </c>
      <c r="O658" s="1" t="e">
        <v>#VALUE!</v>
      </c>
      <c r="P658" s="1" t="e">
        <v>#VALUE!</v>
      </c>
      <c r="S658" s="1">
        <f t="shared" si="833"/>
        <v>12</v>
      </c>
      <c r="T658" s="1">
        <v>219</v>
      </c>
    </row>
    <row r="659" spans="1:20" x14ac:dyDescent="0.3">
      <c r="A659" s="1">
        <f t="shared" si="853"/>
        <v>12220</v>
      </c>
      <c r="B659" s="24"/>
      <c r="C659" s="24"/>
      <c r="D659" s="24"/>
      <c r="E659" s="24"/>
      <c r="F659" s="24"/>
      <c r="G659" s="25"/>
      <c r="H659" s="25"/>
      <c r="J659" s="1" t="str">
        <f t="shared" ref="J659" si="896">CONCATENATE(J657,"2")</f>
        <v>102</v>
      </c>
      <c r="M659" s="1" t="e">
        <v>#VALUE!</v>
      </c>
      <c r="N659" s="1" t="e">
        <v>#VALUE!</v>
      </c>
      <c r="O659" s="1" t="e">
        <v>#VALUE!</v>
      </c>
      <c r="P659" s="1" t="e">
        <v>#VALUE!</v>
      </c>
      <c r="S659" s="1">
        <f t="shared" si="833"/>
        <v>12</v>
      </c>
      <c r="T659" s="1">
        <v>220</v>
      </c>
    </row>
    <row r="660" spans="1:20" x14ac:dyDescent="0.3">
      <c r="A660" s="1">
        <f t="shared" si="853"/>
        <v>12221</v>
      </c>
      <c r="B660" s="24"/>
      <c r="C660" s="24"/>
      <c r="D660" s="24"/>
      <c r="E660" s="24"/>
      <c r="F660" s="24"/>
      <c r="G660" s="25"/>
      <c r="H660" s="25"/>
      <c r="J660" s="1" t="str">
        <f t="shared" ref="J660" si="897">CONCATENATE(J657,"3")</f>
        <v>103</v>
      </c>
      <c r="M660" s="1" t="e">
        <v>#VALUE!</v>
      </c>
      <c r="N660" s="1" t="e">
        <v>#VALUE!</v>
      </c>
      <c r="O660" s="1" t="e">
        <v>#VALUE!</v>
      </c>
      <c r="P660" s="1" t="e">
        <v>#VALUE!</v>
      </c>
      <c r="S660" s="1">
        <f t="shared" si="833"/>
        <v>12</v>
      </c>
      <c r="T660" s="1">
        <v>221</v>
      </c>
    </row>
    <row r="661" spans="1:20" x14ac:dyDescent="0.3">
      <c r="A661" s="1">
        <f t="shared" si="853"/>
        <v>12222</v>
      </c>
      <c r="B661" s="24"/>
      <c r="C661" s="24"/>
      <c r="D661" s="24"/>
      <c r="E661" s="24"/>
      <c r="F661" s="24"/>
      <c r="G661" s="25"/>
      <c r="H661" s="25"/>
      <c r="J661" s="1">
        <f t="shared" ref="J661" si="898">J657-1</f>
        <v>9</v>
      </c>
      <c r="M661" s="1" t="s">
        <v>2</v>
      </c>
      <c r="N661" s="1" t="s">
        <v>3</v>
      </c>
      <c r="O661" s="1" t="s">
        <v>4</v>
      </c>
      <c r="P661" s="1" t="s">
        <v>5</v>
      </c>
      <c r="S661" s="1">
        <f t="shared" si="833"/>
        <v>12</v>
      </c>
      <c r="T661" s="1">
        <v>222</v>
      </c>
    </row>
    <row r="662" spans="1:20" x14ac:dyDescent="0.3">
      <c r="A662" s="1">
        <f t="shared" si="853"/>
        <v>12223</v>
      </c>
      <c r="B662" s="24"/>
      <c r="C662" s="24"/>
      <c r="D662" s="24"/>
      <c r="E662" s="24"/>
      <c r="F662" s="24"/>
      <c r="G662" s="25"/>
      <c r="H662" s="25"/>
      <c r="J662" s="1" t="str">
        <f t="shared" ref="J662" si="899">CONCATENATE(J661,"1")</f>
        <v>91</v>
      </c>
      <c r="M662" s="1" t="e">
        <f t="array" ref="M662:P664">LINEST($B656:$B666,$C656:$C666^{1,2,3},TRUE,TRUE)</f>
        <v>#VALUE!</v>
      </c>
      <c r="N662" s="1" t="e">
        <v>#VALUE!</v>
      </c>
      <c r="O662" s="1" t="e">
        <v>#VALUE!</v>
      </c>
      <c r="P662" s="1" t="e">
        <v>#VALUE!</v>
      </c>
      <c r="S662" s="1">
        <f t="shared" si="833"/>
        <v>12</v>
      </c>
      <c r="T662" s="1">
        <v>223</v>
      </c>
    </row>
    <row r="663" spans="1:20" x14ac:dyDescent="0.3">
      <c r="A663" s="1">
        <f t="shared" si="853"/>
        <v>12224</v>
      </c>
      <c r="B663" s="24"/>
      <c r="C663" s="24"/>
      <c r="D663" s="24"/>
      <c r="E663" s="24"/>
      <c r="F663" s="24"/>
      <c r="G663" s="25"/>
      <c r="H663" s="25"/>
      <c r="J663" s="1" t="str">
        <f t="shared" ref="J663" si="900">CONCATENATE(J661,"2")</f>
        <v>92</v>
      </c>
      <c r="M663" s="1" t="e">
        <v>#VALUE!</v>
      </c>
      <c r="N663" s="1" t="e">
        <v>#VALUE!</v>
      </c>
      <c r="O663" s="1" t="e">
        <v>#VALUE!</v>
      </c>
      <c r="P663" s="1" t="e">
        <v>#VALUE!</v>
      </c>
      <c r="S663" s="1">
        <f t="shared" si="833"/>
        <v>12</v>
      </c>
      <c r="T663" s="1">
        <v>224</v>
      </c>
    </row>
    <row r="664" spans="1:20" x14ac:dyDescent="0.3">
      <c r="A664" s="1">
        <f t="shared" si="853"/>
        <v>12225</v>
      </c>
      <c r="B664" s="24"/>
      <c r="C664" s="24"/>
      <c r="D664" s="24"/>
      <c r="E664" s="24"/>
      <c r="F664" s="24"/>
      <c r="G664" s="25"/>
      <c r="H664" s="25"/>
      <c r="J664" s="1" t="str">
        <f t="shared" ref="J664" si="901">CONCATENATE(J661,"3")</f>
        <v>93</v>
      </c>
      <c r="M664" s="1" t="e">
        <v>#VALUE!</v>
      </c>
      <c r="N664" s="1" t="e">
        <v>#VALUE!</v>
      </c>
      <c r="O664" s="1" t="e">
        <v>#VALUE!</v>
      </c>
      <c r="P664" s="1" t="e">
        <v>#VALUE!</v>
      </c>
      <c r="S664" s="1">
        <f t="shared" si="833"/>
        <v>12</v>
      </c>
      <c r="T664" s="1">
        <v>225</v>
      </c>
    </row>
    <row r="665" spans="1:20" x14ac:dyDescent="0.3">
      <c r="A665" s="1">
        <f t="shared" si="853"/>
        <v>12226</v>
      </c>
      <c r="B665" s="24"/>
      <c r="C665" s="24"/>
      <c r="D665" s="24"/>
      <c r="E665" s="24"/>
      <c r="F665" s="24"/>
      <c r="G665" s="25"/>
      <c r="H665" s="25"/>
      <c r="J665" s="1">
        <f t="shared" ref="J665" si="902">J661-1</f>
        <v>8</v>
      </c>
      <c r="M665" s="1" t="s">
        <v>2</v>
      </c>
      <c r="N665" s="1" t="s">
        <v>3</v>
      </c>
      <c r="O665" s="1" t="s">
        <v>4</v>
      </c>
      <c r="P665" s="1" t="s">
        <v>5</v>
      </c>
      <c r="S665" s="1">
        <f t="shared" si="833"/>
        <v>12</v>
      </c>
      <c r="T665" s="1">
        <v>226</v>
      </c>
    </row>
    <row r="666" spans="1:20" x14ac:dyDescent="0.3">
      <c r="A666" s="1">
        <f t="shared" si="853"/>
        <v>12227</v>
      </c>
      <c r="B666" s="24"/>
      <c r="C666" s="24"/>
      <c r="D666" s="24"/>
      <c r="E666" s="24"/>
      <c r="F666" s="24"/>
      <c r="G666" s="25"/>
      <c r="H666" s="25"/>
      <c r="J666" s="1" t="str">
        <f t="shared" ref="J666" si="903">CONCATENATE(J665,"1")</f>
        <v>81</v>
      </c>
      <c r="M666" s="1" t="e">
        <f t="array" ref="M666:P668">LINEST($B656:$B665,$C656:$C665^{1,2,3},TRUE,TRUE)</f>
        <v>#VALUE!</v>
      </c>
      <c r="N666" s="1" t="e">
        <v>#VALUE!</v>
      </c>
      <c r="O666" s="1" t="e">
        <v>#VALUE!</v>
      </c>
      <c r="P666" s="1" t="e">
        <v>#VALUE!</v>
      </c>
      <c r="S666" s="1">
        <f t="shared" si="833"/>
        <v>12</v>
      </c>
      <c r="T666" s="1">
        <v>227</v>
      </c>
    </row>
    <row r="667" spans="1:20" x14ac:dyDescent="0.3">
      <c r="A667" s="1">
        <f t="shared" si="853"/>
        <v>12228</v>
      </c>
      <c r="B667" s="24"/>
      <c r="C667" s="24"/>
      <c r="D667" s="24"/>
      <c r="E667" s="24"/>
      <c r="F667" s="24"/>
      <c r="G667" s="25"/>
      <c r="H667" s="25"/>
      <c r="J667" s="1" t="str">
        <f t="shared" ref="J667" si="904">CONCATENATE(J665,"2")</f>
        <v>82</v>
      </c>
      <c r="M667" s="1" t="e">
        <v>#VALUE!</v>
      </c>
      <c r="N667" s="1" t="e">
        <v>#VALUE!</v>
      </c>
      <c r="O667" s="1" t="e">
        <v>#VALUE!</v>
      </c>
      <c r="P667" s="1" t="e">
        <v>#VALUE!</v>
      </c>
      <c r="S667" s="1">
        <f t="shared" si="833"/>
        <v>12</v>
      </c>
      <c r="T667" s="1">
        <v>228</v>
      </c>
    </row>
    <row r="668" spans="1:20" x14ac:dyDescent="0.3">
      <c r="A668" s="1">
        <f t="shared" si="853"/>
        <v>12229</v>
      </c>
      <c r="B668" s="24"/>
      <c r="C668" s="24"/>
      <c r="D668" s="24"/>
      <c r="E668" s="24"/>
      <c r="F668" s="24"/>
      <c r="G668" s="25"/>
      <c r="H668" s="25"/>
      <c r="J668" s="1" t="str">
        <f t="shared" ref="J668" si="905">CONCATENATE(J665,"3")</f>
        <v>83</v>
      </c>
      <c r="M668" s="1" t="e">
        <v>#VALUE!</v>
      </c>
      <c r="N668" s="1" t="e">
        <v>#VALUE!</v>
      </c>
      <c r="O668" s="1" t="e">
        <v>#VALUE!</v>
      </c>
      <c r="P668" s="1" t="e">
        <v>#VALUE!</v>
      </c>
      <c r="S668" s="1">
        <f t="shared" si="833"/>
        <v>12</v>
      </c>
      <c r="T668" s="1">
        <v>229</v>
      </c>
    </row>
    <row r="669" spans="1:20" x14ac:dyDescent="0.3">
      <c r="A669" s="1">
        <f t="shared" si="853"/>
        <v>12230</v>
      </c>
      <c r="B669" s="24"/>
      <c r="C669" s="24"/>
      <c r="D669" s="24"/>
      <c r="E669" s="24"/>
      <c r="F669" s="24"/>
      <c r="G669" s="25"/>
      <c r="H669" s="25"/>
      <c r="J669" s="1">
        <f t="shared" ref="J669" si="906">J665-1</f>
        <v>7</v>
      </c>
      <c r="M669" s="1" t="s">
        <v>2</v>
      </c>
      <c r="N669" s="1" t="s">
        <v>3</v>
      </c>
      <c r="O669" s="1" t="s">
        <v>4</v>
      </c>
      <c r="P669" s="1" t="s">
        <v>5</v>
      </c>
      <c r="S669" s="1">
        <f t="shared" si="833"/>
        <v>12</v>
      </c>
      <c r="T669" s="1">
        <v>230</v>
      </c>
    </row>
    <row r="670" spans="1:20" x14ac:dyDescent="0.3">
      <c r="A670" s="1">
        <f t="shared" si="853"/>
        <v>12231</v>
      </c>
      <c r="B670" s="24"/>
      <c r="C670" s="24"/>
      <c r="D670" s="24"/>
      <c r="E670" s="24"/>
      <c r="F670" s="24"/>
      <c r="G670" s="25"/>
      <c r="H670" s="25"/>
      <c r="J670" s="1" t="str">
        <f t="shared" ref="J670" si="907">CONCATENATE(J669,"1")</f>
        <v>71</v>
      </c>
      <c r="M670" s="1" t="e">
        <f t="array" ref="M670:P672">LINEST($B656:$B664,$C656:$C664^{1,2,3},TRUE,TRUE)</f>
        <v>#VALUE!</v>
      </c>
      <c r="N670" s="1" t="e">
        <v>#VALUE!</v>
      </c>
      <c r="O670" s="1" t="e">
        <v>#VALUE!</v>
      </c>
      <c r="P670" s="1" t="e">
        <v>#VALUE!</v>
      </c>
      <c r="S670" s="1">
        <f t="shared" si="833"/>
        <v>12</v>
      </c>
      <c r="T670" s="1">
        <v>231</v>
      </c>
    </row>
    <row r="671" spans="1:20" x14ac:dyDescent="0.3">
      <c r="A671" s="1">
        <f t="shared" si="853"/>
        <v>12232</v>
      </c>
      <c r="B671" s="2">
        <f t="shared" ref="B671" si="908">COUNT(B656:B670)-2</f>
        <v>-2</v>
      </c>
      <c r="J671" s="1" t="str">
        <f t="shared" ref="J671" si="909">CONCATENATE(J669,"2")</f>
        <v>72</v>
      </c>
      <c r="M671" s="1" t="e">
        <v>#VALUE!</v>
      </c>
      <c r="N671" s="1" t="e">
        <v>#VALUE!</v>
      </c>
      <c r="O671" s="1" t="e">
        <v>#VALUE!</v>
      </c>
      <c r="P671" s="1" t="e">
        <v>#VALUE!</v>
      </c>
      <c r="S671" s="1">
        <f t="shared" si="833"/>
        <v>12</v>
      </c>
      <c r="T671" s="1">
        <v>232</v>
      </c>
    </row>
    <row r="672" spans="1:20" x14ac:dyDescent="0.3">
      <c r="A672" s="1">
        <f t="shared" si="853"/>
        <v>12233</v>
      </c>
      <c r="J672" s="1" t="str">
        <f t="shared" ref="J672" si="910">CONCATENATE(J669,"3")</f>
        <v>73</v>
      </c>
      <c r="M672" s="1" t="e">
        <v>#VALUE!</v>
      </c>
      <c r="N672" s="1" t="e">
        <v>#VALUE!</v>
      </c>
      <c r="O672" s="1" t="e">
        <v>#VALUE!</v>
      </c>
      <c r="P672" s="1" t="e">
        <v>#VALUE!</v>
      </c>
      <c r="S672" s="1">
        <f t="shared" si="833"/>
        <v>12</v>
      </c>
      <c r="T672" s="1">
        <v>233</v>
      </c>
    </row>
    <row r="673" spans="1:20" x14ac:dyDescent="0.3">
      <c r="A673" s="1">
        <f t="shared" si="853"/>
        <v>12234</v>
      </c>
      <c r="B673" s="54" t="s">
        <v>25</v>
      </c>
      <c r="C673" s="54"/>
      <c r="D673" s="54"/>
      <c r="E673" s="54"/>
      <c r="F673" s="54"/>
      <c r="G673" s="54"/>
      <c r="H673" s="54"/>
      <c r="J673" s="1">
        <f t="shared" ref="J673" si="911">J669-1</f>
        <v>6</v>
      </c>
      <c r="M673" s="1" t="s">
        <v>2</v>
      </c>
      <c r="N673" s="1" t="s">
        <v>3</v>
      </c>
      <c r="O673" s="1" t="s">
        <v>4</v>
      </c>
      <c r="P673" s="1" t="s">
        <v>5</v>
      </c>
      <c r="S673" s="1">
        <f t="shared" si="833"/>
        <v>12</v>
      </c>
      <c r="T673" s="1">
        <v>234</v>
      </c>
    </row>
    <row r="674" spans="1:20" x14ac:dyDescent="0.3">
      <c r="A674" s="1">
        <f t="shared" si="853"/>
        <v>12235</v>
      </c>
      <c r="B674" s="56"/>
      <c r="C674" s="56"/>
      <c r="D674" s="56"/>
      <c r="E674" s="56"/>
      <c r="F674" s="56"/>
      <c r="G674" s="56"/>
      <c r="H674" s="56"/>
      <c r="J674" s="1" t="str">
        <f t="shared" ref="J674" si="912">CONCATENATE(J673,"1")</f>
        <v>61</v>
      </c>
      <c r="M674" s="1" t="e">
        <f t="array" ref="M674:P676">LINEST($B656:$B663,$C656:$C663^{1,2,3},TRUE,TRUE)</f>
        <v>#VALUE!</v>
      </c>
      <c r="N674" s="1" t="e">
        <v>#VALUE!</v>
      </c>
      <c r="O674" s="1" t="e">
        <v>#VALUE!</v>
      </c>
      <c r="P674" s="1" t="e">
        <v>#VALUE!</v>
      </c>
      <c r="S674" s="1">
        <f t="shared" si="833"/>
        <v>12</v>
      </c>
      <c r="T674" s="1">
        <v>235</v>
      </c>
    </row>
    <row r="675" spans="1:20" x14ac:dyDescent="0.3">
      <c r="A675" s="1">
        <f t="shared" si="853"/>
        <v>12236</v>
      </c>
      <c r="B675" s="56"/>
      <c r="C675" s="56"/>
      <c r="D675" s="56"/>
      <c r="E675" s="56"/>
      <c r="F675" s="56"/>
      <c r="G675" s="56"/>
      <c r="H675" s="56"/>
      <c r="J675" s="1" t="str">
        <f t="shared" ref="J675" si="913">CONCATENATE(J673,"2")</f>
        <v>62</v>
      </c>
      <c r="M675" s="1" t="e">
        <v>#VALUE!</v>
      </c>
      <c r="N675" s="1" t="e">
        <v>#VALUE!</v>
      </c>
      <c r="O675" s="1" t="e">
        <v>#VALUE!</v>
      </c>
      <c r="P675" s="1" t="e">
        <v>#VALUE!</v>
      </c>
      <c r="S675" s="1">
        <f t="shared" si="833"/>
        <v>12</v>
      </c>
      <c r="T675" s="1">
        <v>236</v>
      </c>
    </row>
    <row r="676" spans="1:20" x14ac:dyDescent="0.3">
      <c r="A676" s="1">
        <f t="shared" si="853"/>
        <v>12237</v>
      </c>
      <c r="J676" s="1" t="str">
        <f t="shared" ref="J676" si="914">CONCATENATE(J673,"3")</f>
        <v>63</v>
      </c>
      <c r="M676" s="1" t="e">
        <v>#VALUE!</v>
      </c>
      <c r="N676" s="1" t="e">
        <v>#VALUE!</v>
      </c>
      <c r="O676" s="1" t="e">
        <v>#VALUE!</v>
      </c>
      <c r="P676" s="1" t="e">
        <v>#VALUE!</v>
      </c>
      <c r="S676" s="1">
        <f t="shared" si="833"/>
        <v>12</v>
      </c>
      <c r="T676" s="1">
        <v>237</v>
      </c>
    </row>
    <row r="677" spans="1:20" ht="15" customHeight="1" x14ac:dyDescent="0.3">
      <c r="A677" s="1">
        <f t="shared" si="853"/>
        <v>12238</v>
      </c>
      <c r="J677" s="1">
        <f t="shared" ref="J677" si="915">J673-1</f>
        <v>5</v>
      </c>
      <c r="M677" s="1" t="s">
        <v>2</v>
      </c>
      <c r="N677" s="1" t="s">
        <v>3</v>
      </c>
      <c r="O677" s="1" t="s">
        <v>4</v>
      </c>
      <c r="P677" s="1" t="s">
        <v>5</v>
      </c>
      <c r="S677" s="1">
        <f t="shared" si="833"/>
        <v>12</v>
      </c>
      <c r="T677" s="1">
        <v>238</v>
      </c>
    </row>
    <row r="678" spans="1:20" x14ac:dyDescent="0.3">
      <c r="A678" s="1">
        <f t="shared" si="853"/>
        <v>12239</v>
      </c>
      <c r="J678" s="1" t="str">
        <f t="shared" ref="J678" si="916">CONCATENATE(J677,"1")</f>
        <v>51</v>
      </c>
      <c r="M678" s="1" t="e">
        <f t="array" ref="M678:P680">LINEST($B656:$B662,$C656:$C662^{1,2,3},TRUE,TRUE)</f>
        <v>#VALUE!</v>
      </c>
      <c r="N678" s="1" t="e">
        <v>#VALUE!</v>
      </c>
      <c r="O678" s="1" t="e">
        <v>#VALUE!</v>
      </c>
      <c r="P678" s="1" t="e">
        <v>#VALUE!</v>
      </c>
      <c r="S678" s="1">
        <f t="shared" si="833"/>
        <v>12</v>
      </c>
      <c r="T678" s="1">
        <v>239</v>
      </c>
    </row>
    <row r="679" spans="1:20" x14ac:dyDescent="0.3">
      <c r="A679" s="1">
        <f t="shared" si="853"/>
        <v>12240</v>
      </c>
      <c r="E679" s="26"/>
      <c r="F679" s="26"/>
      <c r="G679" s="26"/>
      <c r="H679" s="26"/>
      <c r="J679" s="1" t="str">
        <f t="shared" ref="J679" si="917">CONCATENATE(J677,"2")</f>
        <v>52</v>
      </c>
      <c r="M679" s="1" t="e">
        <v>#VALUE!</v>
      </c>
      <c r="N679" s="1" t="e">
        <v>#VALUE!</v>
      </c>
      <c r="O679" s="1" t="e">
        <v>#VALUE!</v>
      </c>
      <c r="P679" s="1" t="e">
        <v>#VALUE!</v>
      </c>
      <c r="S679" s="1">
        <f t="shared" si="833"/>
        <v>12</v>
      </c>
      <c r="T679" s="1">
        <v>240</v>
      </c>
    </row>
    <row r="680" spans="1:20" x14ac:dyDescent="0.3">
      <c r="A680" s="1">
        <f t="shared" si="853"/>
        <v>12241</v>
      </c>
      <c r="B680" s="54" t="s">
        <v>90</v>
      </c>
      <c r="C680" s="54"/>
      <c r="D680" s="54"/>
      <c r="E680" s="27" t="str">
        <f t="shared" ref="E680" si="918">IF(D642="","",MAX(E681,E682))</f>
        <v/>
      </c>
      <c r="F680" s="26"/>
      <c r="G680" s="26"/>
      <c r="H680" s="26"/>
      <c r="J680" s="1" t="str">
        <f t="shared" ref="J680" si="919">CONCATENATE(J677,"3")</f>
        <v>53</v>
      </c>
      <c r="M680" s="1" t="e">
        <v>#VALUE!</v>
      </c>
      <c r="N680" s="1" t="e">
        <v>#VALUE!</v>
      </c>
      <c r="O680" s="1" t="e">
        <v>#VALUE!</v>
      </c>
      <c r="P680" s="1" t="e">
        <v>#VALUE!</v>
      </c>
      <c r="S680" s="1">
        <f t="shared" si="833"/>
        <v>12</v>
      </c>
      <c r="T680" s="1">
        <v>241</v>
      </c>
    </row>
    <row r="681" spans="1:20" x14ac:dyDescent="0.3">
      <c r="A681" s="1">
        <f t="shared" si="853"/>
        <v>12242</v>
      </c>
      <c r="B681" s="2" t="s">
        <v>26</v>
      </c>
      <c r="C681" s="2" t="s">
        <v>27</v>
      </c>
      <c r="D681" s="2" t="s">
        <v>28</v>
      </c>
      <c r="E681" s="28">
        <f t="shared" ref="E681" si="920">ABS(MIN(D682:D696))</f>
        <v>0</v>
      </c>
      <c r="F681" s="26"/>
      <c r="H681" s="26"/>
      <c r="J681" s="1">
        <f t="shared" ref="J681" si="921">J677-1</f>
        <v>4</v>
      </c>
      <c r="M681" s="1" t="s">
        <v>2</v>
      </c>
      <c r="N681" s="1" t="s">
        <v>3</v>
      </c>
      <c r="O681" s="1" t="s">
        <v>4</v>
      </c>
      <c r="P681" s="1" t="s">
        <v>5</v>
      </c>
      <c r="S681" s="1">
        <f t="shared" si="833"/>
        <v>12</v>
      </c>
      <c r="T681" s="1">
        <v>242</v>
      </c>
    </row>
    <row r="682" spans="1:20" x14ac:dyDescent="0.3">
      <c r="A682" s="1">
        <f t="shared" si="853"/>
        <v>12243</v>
      </c>
      <c r="B682" s="2">
        <f t="shared" ref="B682:B696" si="922">C656-B656</f>
        <v>0</v>
      </c>
      <c r="C682" s="2">
        <f t="shared" ref="C682:C696" si="923">H656-G656</f>
        <v>0</v>
      </c>
      <c r="D682" s="2">
        <f t="shared" ref="D682:D696" si="924">C682-B682</f>
        <v>0</v>
      </c>
      <c r="E682" s="28">
        <f t="shared" ref="E682" si="925">ABS(MAX(D682:D696))</f>
        <v>0</v>
      </c>
      <c r="F682" s="26"/>
      <c r="H682" s="26"/>
      <c r="J682" s="1" t="str">
        <f t="shared" ref="J682" si="926">CONCATENATE(J681,"1")</f>
        <v>41</v>
      </c>
      <c r="M682" s="1" t="e">
        <f t="array" ref="M682:P684">LINEST($B656:$B661,$C656:$C661^{1,2,3},TRUE,TRUE)</f>
        <v>#VALUE!</v>
      </c>
      <c r="N682" s="1" t="e">
        <v>#VALUE!</v>
      </c>
      <c r="O682" s="1" t="e">
        <v>#VALUE!</v>
      </c>
      <c r="P682" s="1" t="e">
        <v>#VALUE!</v>
      </c>
      <c r="S682" s="1">
        <f t="shared" si="833"/>
        <v>12</v>
      </c>
      <c r="T682" s="1">
        <v>243</v>
      </c>
    </row>
    <row r="683" spans="1:20" x14ac:dyDescent="0.3">
      <c r="A683" s="1">
        <f t="shared" si="853"/>
        <v>12244</v>
      </c>
      <c r="B683" s="2">
        <f t="shared" si="922"/>
        <v>0</v>
      </c>
      <c r="C683" s="2">
        <f t="shared" si="923"/>
        <v>0</v>
      </c>
      <c r="D683" s="2">
        <f t="shared" si="924"/>
        <v>0</v>
      </c>
      <c r="E683" s="29" t="s">
        <v>32</v>
      </c>
      <c r="F683" s="26"/>
      <c r="H683" s="26"/>
      <c r="J683" s="1" t="str">
        <f t="shared" ref="J683" si="927">CONCATENATE(J681,"2")</f>
        <v>42</v>
      </c>
      <c r="M683" s="1" t="e">
        <v>#VALUE!</v>
      </c>
      <c r="N683" s="1" t="e">
        <v>#VALUE!</v>
      </c>
      <c r="O683" s="1" t="e">
        <v>#VALUE!</v>
      </c>
      <c r="P683" s="1" t="e">
        <v>#VALUE!</v>
      </c>
      <c r="S683" s="1">
        <f t="shared" si="833"/>
        <v>12</v>
      </c>
      <c r="T683" s="1">
        <v>244</v>
      </c>
    </row>
    <row r="684" spans="1:20" x14ac:dyDescent="0.3">
      <c r="A684" s="1">
        <f t="shared" si="853"/>
        <v>12245</v>
      </c>
      <c r="B684" s="2">
        <f t="shared" si="922"/>
        <v>0</v>
      </c>
      <c r="C684" s="2">
        <f t="shared" si="923"/>
        <v>0</v>
      </c>
      <c r="D684" s="2">
        <f t="shared" si="924"/>
        <v>0</v>
      </c>
      <c r="E684" s="27" t="str">
        <f t="shared" ref="E684" si="928">IF(D642="","",MAX(E685,E686))</f>
        <v/>
      </c>
      <c r="F684" s="26"/>
      <c r="H684" s="26"/>
      <c r="J684" s="1" t="str">
        <f t="shared" ref="J684" si="929">CONCATENATE(J681,"3")</f>
        <v>43</v>
      </c>
      <c r="M684" s="1" t="e">
        <v>#VALUE!</v>
      </c>
      <c r="N684" s="1" t="e">
        <v>#VALUE!</v>
      </c>
      <c r="O684" s="1" t="e">
        <v>#VALUE!</v>
      </c>
      <c r="P684" s="1" t="e">
        <v>#VALUE!</v>
      </c>
      <c r="S684" s="1">
        <f t="shared" si="833"/>
        <v>12</v>
      </c>
      <c r="T684" s="1">
        <v>245</v>
      </c>
    </row>
    <row r="685" spans="1:20" x14ac:dyDescent="0.3">
      <c r="A685" s="1">
        <f t="shared" si="853"/>
        <v>12246</v>
      </c>
      <c r="B685" s="2">
        <f t="shared" si="922"/>
        <v>0</v>
      </c>
      <c r="C685" s="2">
        <f t="shared" si="923"/>
        <v>0</v>
      </c>
      <c r="D685" s="2">
        <f t="shared" si="924"/>
        <v>0</v>
      </c>
      <c r="E685" s="28">
        <f t="shared" ref="E685" si="930">ABS(MIN(B682:B696))</f>
        <v>0</v>
      </c>
      <c r="F685" s="26"/>
      <c r="H685" s="26"/>
      <c r="J685" s="1">
        <f t="shared" ref="J685" si="931">J681-1</f>
        <v>3</v>
      </c>
      <c r="M685" s="1" t="s">
        <v>2</v>
      </c>
      <c r="N685" s="1" t="s">
        <v>3</v>
      </c>
      <c r="O685" s="1" t="s">
        <v>4</v>
      </c>
      <c r="P685" s="1" t="s">
        <v>5</v>
      </c>
      <c r="S685" s="1">
        <f t="shared" si="833"/>
        <v>12</v>
      </c>
      <c r="T685" s="1">
        <v>246</v>
      </c>
    </row>
    <row r="686" spans="1:20" x14ac:dyDescent="0.3">
      <c r="A686" s="1">
        <f t="shared" si="853"/>
        <v>12247</v>
      </c>
      <c r="B686" s="2">
        <f t="shared" si="922"/>
        <v>0</v>
      </c>
      <c r="C686" s="2">
        <f t="shared" si="923"/>
        <v>0</v>
      </c>
      <c r="D686" s="2">
        <f t="shared" si="924"/>
        <v>0</v>
      </c>
      <c r="E686" s="28">
        <f t="shared" ref="E686" si="932">ABS(MAX(B682:B696))</f>
        <v>0</v>
      </c>
      <c r="F686" s="26"/>
      <c r="H686" s="26"/>
      <c r="J686" s="1" t="str">
        <f t="shared" ref="J686" si="933">CONCATENATE(J685,"1")</f>
        <v>31</v>
      </c>
      <c r="M686" s="1" t="e">
        <f t="array" ref="M686:P688">LINEST($B656:$B660,$C656:$C660^{1,2,3},TRUE,TRUE)</f>
        <v>#VALUE!</v>
      </c>
      <c r="N686" s="1" t="e">
        <v>#VALUE!</v>
      </c>
      <c r="O686" s="1" t="e">
        <v>#VALUE!</v>
      </c>
      <c r="P686" s="1" t="e">
        <v>#VALUE!</v>
      </c>
      <c r="S686" s="1">
        <f t="shared" si="833"/>
        <v>12</v>
      </c>
      <c r="T686" s="1">
        <v>247</v>
      </c>
    </row>
    <row r="687" spans="1:20" x14ac:dyDescent="0.3">
      <c r="A687" s="1">
        <f t="shared" si="853"/>
        <v>12248</v>
      </c>
      <c r="B687" s="2">
        <f t="shared" si="922"/>
        <v>0</v>
      </c>
      <c r="C687" s="2">
        <f t="shared" si="923"/>
        <v>0</v>
      </c>
      <c r="D687" s="2">
        <f t="shared" si="924"/>
        <v>0</v>
      </c>
      <c r="E687" s="29" t="s">
        <v>33</v>
      </c>
      <c r="F687" s="26"/>
      <c r="J687" s="1" t="str">
        <f t="shared" ref="J687" si="934">CONCATENATE(J685,"2")</f>
        <v>32</v>
      </c>
      <c r="M687" s="1" t="e">
        <v>#VALUE!</v>
      </c>
      <c r="N687" s="1" t="e">
        <v>#VALUE!</v>
      </c>
      <c r="O687" s="1" t="e">
        <v>#VALUE!</v>
      </c>
      <c r="P687" s="1" t="e">
        <v>#VALUE!</v>
      </c>
      <c r="S687" s="1">
        <f t="shared" si="833"/>
        <v>12</v>
      </c>
      <c r="T687" s="1">
        <v>248</v>
      </c>
    </row>
    <row r="688" spans="1:20" x14ac:dyDescent="0.3">
      <c r="A688" s="1">
        <f t="shared" si="853"/>
        <v>12249</v>
      </c>
      <c r="B688" s="2">
        <f t="shared" si="922"/>
        <v>0</v>
      </c>
      <c r="C688" s="2">
        <f t="shared" si="923"/>
        <v>0</v>
      </c>
      <c r="D688" s="2">
        <f t="shared" si="924"/>
        <v>0</v>
      </c>
      <c r="E688" s="27" t="str">
        <f t="shared" ref="E688" si="935">IF(D642="","",MAX(E689,E690))</f>
        <v/>
      </c>
      <c r="F688" s="26"/>
      <c r="J688" s="1" t="str">
        <f t="shared" ref="J688" si="936">CONCATENATE(J685,"3")</f>
        <v>33</v>
      </c>
      <c r="M688" s="1" t="e">
        <v>#VALUE!</v>
      </c>
      <c r="N688" s="1" t="e">
        <v>#VALUE!</v>
      </c>
      <c r="O688" s="1" t="e">
        <v>#VALUE!</v>
      </c>
      <c r="P688" s="1" t="e">
        <v>#VALUE!</v>
      </c>
      <c r="S688" s="1">
        <f t="shared" si="833"/>
        <v>12</v>
      </c>
      <c r="T688" s="1">
        <v>249</v>
      </c>
    </row>
    <row r="689" spans="1:20" x14ac:dyDescent="0.3">
      <c r="A689" s="1">
        <f t="shared" si="853"/>
        <v>12250</v>
      </c>
      <c r="B689" s="2">
        <f t="shared" si="922"/>
        <v>0</v>
      </c>
      <c r="C689" s="2">
        <f t="shared" si="923"/>
        <v>0</v>
      </c>
      <c r="D689" s="2">
        <f t="shared" si="924"/>
        <v>0</v>
      </c>
      <c r="E689" s="28">
        <f t="shared" ref="E689" si="937">ABS(MIN(D656:D670))</f>
        <v>0</v>
      </c>
      <c r="F689" s="26"/>
      <c r="J689" s="1">
        <f t="shared" ref="J689" si="938">J685-1</f>
        <v>2</v>
      </c>
      <c r="N689" s="1" t="s">
        <v>3</v>
      </c>
      <c r="O689" s="1" t="s">
        <v>4</v>
      </c>
      <c r="P689" s="1" t="s">
        <v>5</v>
      </c>
      <c r="S689" s="1">
        <f t="shared" ref="S689:S752" si="939">S688</f>
        <v>12</v>
      </c>
      <c r="T689" s="1">
        <v>250</v>
      </c>
    </row>
    <row r="690" spans="1:20" x14ac:dyDescent="0.3">
      <c r="A690" s="1">
        <f t="shared" si="853"/>
        <v>12251</v>
      </c>
      <c r="B690" s="2">
        <f t="shared" si="922"/>
        <v>0</v>
      </c>
      <c r="C690" s="2">
        <f t="shared" si="923"/>
        <v>0</v>
      </c>
      <c r="D690" s="2">
        <f t="shared" si="924"/>
        <v>0</v>
      </c>
      <c r="E690" s="28">
        <f t="shared" ref="E690" si="940">ABS(MAX(D656:D670))</f>
        <v>0</v>
      </c>
      <c r="F690" s="26"/>
      <c r="J690" s="1" t="str">
        <f t="shared" ref="J690" si="941">CONCATENATE(J689,"1")</f>
        <v>21</v>
      </c>
      <c r="N690" s="1" t="e">
        <f t="array" ref="N690:P692">LINEST($B656:$B659,$C656:$C659^{1,2},TRUE,TRUE)</f>
        <v>#VALUE!</v>
      </c>
      <c r="O690" s="1" t="e">
        <v>#VALUE!</v>
      </c>
      <c r="P690" s="1" t="e">
        <v>#VALUE!</v>
      </c>
      <c r="S690" s="1">
        <f t="shared" si="939"/>
        <v>12</v>
      </c>
      <c r="T690" s="1">
        <v>251</v>
      </c>
    </row>
    <row r="691" spans="1:20" x14ac:dyDescent="0.3">
      <c r="A691" s="1">
        <f t="shared" si="853"/>
        <v>12252</v>
      </c>
      <c r="B691" s="2">
        <f t="shared" si="922"/>
        <v>0</v>
      </c>
      <c r="C691" s="2">
        <f t="shared" si="923"/>
        <v>0</v>
      </c>
      <c r="D691" s="2">
        <f t="shared" si="924"/>
        <v>0</v>
      </c>
      <c r="E691" s="26"/>
      <c r="F691" s="26"/>
      <c r="J691" s="1" t="str">
        <f t="shared" ref="J691" si="942">CONCATENATE(J689,"2")</f>
        <v>22</v>
      </c>
      <c r="N691" s="1" t="e">
        <v>#VALUE!</v>
      </c>
      <c r="O691" s="1" t="e">
        <v>#VALUE!</v>
      </c>
      <c r="P691" s="1" t="e">
        <v>#VALUE!</v>
      </c>
      <c r="S691" s="1">
        <f t="shared" si="939"/>
        <v>12</v>
      </c>
      <c r="T691" s="1">
        <v>252</v>
      </c>
    </row>
    <row r="692" spans="1:20" x14ac:dyDescent="0.3">
      <c r="A692" s="1">
        <f t="shared" si="853"/>
        <v>12253</v>
      </c>
      <c r="B692" s="2">
        <f t="shared" si="922"/>
        <v>0</v>
      </c>
      <c r="C692" s="2">
        <f t="shared" si="923"/>
        <v>0</v>
      </c>
      <c r="D692" s="2">
        <f t="shared" si="924"/>
        <v>0</v>
      </c>
      <c r="E692" s="26"/>
      <c r="F692" s="26"/>
      <c r="J692" s="1" t="str">
        <f t="shared" ref="J692" si="943">CONCATENATE(J689,"3")</f>
        <v>23</v>
      </c>
      <c r="N692" s="1" t="e">
        <v>#VALUE!</v>
      </c>
      <c r="O692" s="1" t="e">
        <v>#VALUE!</v>
      </c>
      <c r="P692" s="1" t="e">
        <v>#VALUE!</v>
      </c>
      <c r="S692" s="1">
        <f t="shared" si="939"/>
        <v>12</v>
      </c>
      <c r="T692" s="1">
        <v>253</v>
      </c>
    </row>
    <row r="693" spans="1:20" x14ac:dyDescent="0.3">
      <c r="A693" s="1">
        <f t="shared" si="853"/>
        <v>12254</v>
      </c>
      <c r="B693" s="2">
        <f t="shared" si="922"/>
        <v>0</v>
      </c>
      <c r="C693" s="2">
        <f t="shared" si="923"/>
        <v>0</v>
      </c>
      <c r="D693" s="2">
        <f t="shared" si="924"/>
        <v>0</v>
      </c>
      <c r="E693" s="26"/>
      <c r="F693" s="26"/>
      <c r="J693" s="1">
        <f t="shared" ref="J693" si="944">J689-1</f>
        <v>1</v>
      </c>
      <c r="O693" s="1" t="s">
        <v>4</v>
      </c>
      <c r="P693" s="1" t="s">
        <v>5</v>
      </c>
      <c r="S693" s="1">
        <f t="shared" si="939"/>
        <v>12</v>
      </c>
      <c r="T693" s="1">
        <v>254</v>
      </c>
    </row>
    <row r="694" spans="1:20" x14ac:dyDescent="0.3">
      <c r="A694" s="1">
        <f t="shared" si="853"/>
        <v>12255</v>
      </c>
      <c r="B694" s="2">
        <f t="shared" si="922"/>
        <v>0</v>
      </c>
      <c r="C694" s="2">
        <f t="shared" si="923"/>
        <v>0</v>
      </c>
      <c r="D694" s="2">
        <f t="shared" si="924"/>
        <v>0</v>
      </c>
      <c r="E694" s="26"/>
      <c r="F694" s="26"/>
      <c r="J694" s="1" t="str">
        <f t="shared" ref="J694" si="945">CONCATENATE(J693,"1")</f>
        <v>11</v>
      </c>
      <c r="O694" s="1" t="e">
        <f t="array" ref="O694:P696">LINEST($B656:$B658,$C656:$C658^{1},TRUE,TRUE)</f>
        <v>#VALUE!</v>
      </c>
      <c r="P694" s="1" t="e">
        <v>#VALUE!</v>
      </c>
      <c r="S694" s="1">
        <f t="shared" si="939"/>
        <v>12</v>
      </c>
      <c r="T694" s="1">
        <v>255</v>
      </c>
    </row>
    <row r="695" spans="1:20" x14ac:dyDescent="0.3">
      <c r="A695" s="1">
        <f t="shared" si="853"/>
        <v>12256</v>
      </c>
      <c r="B695" s="2">
        <f t="shared" si="922"/>
        <v>0</v>
      </c>
      <c r="C695" s="2">
        <f t="shared" si="923"/>
        <v>0</v>
      </c>
      <c r="D695" s="2">
        <f t="shared" si="924"/>
        <v>0</v>
      </c>
      <c r="E695" s="26"/>
      <c r="F695" s="26"/>
      <c r="J695" s="1" t="str">
        <f t="shared" ref="J695" si="946">CONCATENATE(J693,"2")</f>
        <v>12</v>
      </c>
      <c r="O695" s="1" t="e">
        <v>#VALUE!</v>
      </c>
      <c r="P695" s="1" t="e">
        <v>#VALUE!</v>
      </c>
      <c r="S695" s="1">
        <f t="shared" si="939"/>
        <v>12</v>
      </c>
      <c r="T695" s="1">
        <v>256</v>
      </c>
    </row>
    <row r="696" spans="1:20" x14ac:dyDescent="0.3">
      <c r="A696" s="1">
        <f t="shared" si="853"/>
        <v>12257</v>
      </c>
      <c r="B696" s="2">
        <f t="shared" si="922"/>
        <v>0</v>
      </c>
      <c r="C696" s="2">
        <f t="shared" si="923"/>
        <v>0</v>
      </c>
      <c r="D696" s="2">
        <f t="shared" si="924"/>
        <v>0</v>
      </c>
      <c r="E696" s="30"/>
      <c r="F696" s="30"/>
      <c r="J696" s="1" t="str">
        <f t="shared" ref="J696" si="947">CONCATENATE(J693,"3")</f>
        <v>13</v>
      </c>
      <c r="O696" s="1" t="e">
        <v>#VALUE!</v>
      </c>
      <c r="P696" s="1" t="e">
        <v>#VALUE!</v>
      </c>
      <c r="S696" s="1">
        <f t="shared" si="939"/>
        <v>12</v>
      </c>
      <c r="T696" s="1">
        <v>257</v>
      </c>
    </row>
    <row r="697" spans="1:20" s="8" customFormat="1" x14ac:dyDescent="0.3"/>
    <row r="698" spans="1:20" x14ac:dyDescent="0.3">
      <c r="A698" s="1">
        <f t="shared" ref="A698:A754" si="948">ROUND(CONCATENATE(S698,T698),0)</f>
        <v>13201</v>
      </c>
      <c r="B698" s="57" t="s">
        <v>0</v>
      </c>
      <c r="C698" s="57"/>
      <c r="D698" s="56" t="s">
        <v>46</v>
      </c>
      <c r="E698" s="56"/>
      <c r="F698" s="56"/>
      <c r="G698" s="56"/>
      <c r="H698" s="56"/>
      <c r="L698" s="1">
        <v>1</v>
      </c>
      <c r="M698" s="1">
        <v>2</v>
      </c>
      <c r="N698" s="1">
        <v>3</v>
      </c>
      <c r="O698" s="1">
        <v>4</v>
      </c>
      <c r="P698" s="1">
        <v>5</v>
      </c>
      <c r="Q698" s="1">
        <v>6</v>
      </c>
      <c r="R698" s="1">
        <v>7</v>
      </c>
      <c r="S698" s="1">
        <f t="shared" ref="S698" si="949">S696+1</f>
        <v>13</v>
      </c>
      <c r="T698" s="1">
        <v>201</v>
      </c>
    </row>
    <row r="699" spans="1:20" x14ac:dyDescent="0.3">
      <c r="A699" s="1">
        <f t="shared" si="948"/>
        <v>13202</v>
      </c>
      <c r="B699" s="57"/>
      <c r="C699" s="57"/>
      <c r="D699" s="57"/>
      <c r="E699" s="57"/>
      <c r="F699" s="57"/>
      <c r="G699" s="57"/>
      <c r="H699" s="57"/>
      <c r="K699" s="2" t="s">
        <v>1</v>
      </c>
      <c r="L699" s="2"/>
      <c r="M699" s="2" t="s">
        <v>2</v>
      </c>
      <c r="N699" s="2" t="s">
        <v>3</v>
      </c>
      <c r="O699" s="2" t="s">
        <v>4</v>
      </c>
      <c r="P699" s="2" t="s">
        <v>5</v>
      </c>
      <c r="S699" s="1">
        <f t="shared" ref="S699" si="950">S698</f>
        <v>13</v>
      </c>
      <c r="T699" s="1">
        <v>202</v>
      </c>
    </row>
    <row r="700" spans="1:20" x14ac:dyDescent="0.3">
      <c r="A700" s="1">
        <f t="shared" si="948"/>
        <v>13203</v>
      </c>
      <c r="B700" s="64" t="s">
        <v>6</v>
      </c>
      <c r="C700" s="64"/>
      <c r="D700" s="56" t="s">
        <v>124</v>
      </c>
      <c r="E700" s="56"/>
      <c r="F700" s="56"/>
      <c r="G700" s="56"/>
      <c r="H700" s="56"/>
      <c r="K700" s="3">
        <f t="shared" ref="K700" si="951">IF(K702&gt;=3,N702,LOOKUP(15-($B729+1),M698:R698,M702:P702))</f>
        <v>5.9721876740242867E-2</v>
      </c>
      <c r="L700" s="2" t="str">
        <f t="shared" ref="L700" si="952">CONCATENATE($B729,"1")</f>
        <v>111</v>
      </c>
      <c r="M700" s="2">
        <f t="shared" ref="M700" si="953">VLOOKUP(L700,J703:P754,O698,FALSE)</f>
        <v>-7.947611683699974E-9</v>
      </c>
      <c r="N700" s="2">
        <f t="shared" ref="N700" si="954">VLOOKUP(L700,J703:P754,P698,FALSE)</f>
        <v>2.0081707130848176E-5</v>
      </c>
      <c r="O700" s="2">
        <f t="shared" ref="O700" si="955">VLOOKUP(L700,J703:P754,Q698,FALSE)</f>
        <v>0.98314025552509976</v>
      </c>
      <c r="P700" s="2">
        <f t="shared" ref="P700" si="956">VLOOKUP(L700,J703:P754,R698,FALSE)</f>
        <v>4.5311683372956049</v>
      </c>
      <c r="S700" s="1">
        <f t="shared" si="939"/>
        <v>13</v>
      </c>
      <c r="T700" s="1">
        <v>203</v>
      </c>
    </row>
    <row r="701" spans="1:20" x14ac:dyDescent="0.3">
      <c r="A701" s="1">
        <f t="shared" si="948"/>
        <v>13204</v>
      </c>
      <c r="B701" s="57" t="s">
        <v>7</v>
      </c>
      <c r="C701" s="57"/>
      <c r="D701" s="56" t="s">
        <v>92</v>
      </c>
      <c r="E701" s="56"/>
      <c r="F701" s="56"/>
      <c r="G701" s="56"/>
      <c r="H701" s="56"/>
      <c r="K701" s="2" t="s">
        <v>8</v>
      </c>
      <c r="L701" s="2" t="str">
        <f t="shared" ref="L701" si="957">CONCATENATE($B729,"2")</f>
        <v>112</v>
      </c>
      <c r="M701" s="2">
        <f t="shared" ref="M701" si="958">VLOOKUP(L701,J703:P754,O698,FALSE)</f>
        <v>3.3472027497262754E-9</v>
      </c>
      <c r="N701" s="2">
        <f t="shared" ref="N701" si="959">VLOOKUP(L701,J703:P754,P698,FALSE)</f>
        <v>8.0554563684413841E-6</v>
      </c>
      <c r="O701" s="2">
        <f t="shared" ref="O701" si="960">VLOOKUP(L701,J703:P754,Q698,FALSE)</f>
        <v>6.284237945627975E-3</v>
      </c>
      <c r="P701" s="2">
        <f t="shared" ref="P701" si="961">VLOOKUP(L701,J703:P754,R698,FALSE)</f>
        <v>1.5847217572328887</v>
      </c>
      <c r="S701" s="1">
        <f t="shared" si="939"/>
        <v>13</v>
      </c>
      <c r="T701" s="1">
        <v>204</v>
      </c>
    </row>
    <row r="702" spans="1:20" x14ac:dyDescent="0.3">
      <c r="A702" s="1">
        <f t="shared" si="948"/>
        <v>13205</v>
      </c>
      <c r="B702" s="57" t="s">
        <v>9</v>
      </c>
      <c r="C702" s="57"/>
      <c r="D702" s="56" t="s">
        <v>91</v>
      </c>
      <c r="E702" s="56"/>
      <c r="F702" s="56"/>
      <c r="G702" s="56"/>
      <c r="H702" s="56"/>
      <c r="K702" s="3">
        <f t="shared" ref="K702" si="962">IF(B729&gt;3,3,B729)</f>
        <v>3</v>
      </c>
      <c r="L702" s="2" t="str">
        <f t="shared" ref="L702" si="963">CONCATENATE($B729,"3")</f>
        <v>113</v>
      </c>
      <c r="M702" s="2">
        <f t="shared" ref="M702" si="964">VLOOKUP(L702,J703:P754,O698,FALSE)</f>
        <v>0.99999992928848835</v>
      </c>
      <c r="N702" s="2">
        <f t="shared" ref="N702" si="965">VLOOKUP(L702,J703:P754,P698,FALSE)</f>
        <v>5.9721876740242867E-2</v>
      </c>
      <c r="O702" s="2" t="e">
        <f t="shared" ref="O702" si="966">VLOOKUP(L702,J703:P754,Q698,FALSE)</f>
        <v>#N/A</v>
      </c>
      <c r="P702" s="2" t="e">
        <f t="shared" ref="P702" si="967">VLOOKUP(L702,J703:P754,R698,FALSE)</f>
        <v>#N/A</v>
      </c>
      <c r="S702" s="1">
        <f t="shared" si="939"/>
        <v>13</v>
      </c>
      <c r="T702" s="1">
        <v>205</v>
      </c>
    </row>
    <row r="703" spans="1:20" x14ac:dyDescent="0.3">
      <c r="A703" s="1">
        <f t="shared" si="948"/>
        <v>13206</v>
      </c>
      <c r="B703" s="57" t="s">
        <v>10</v>
      </c>
      <c r="C703" s="57"/>
      <c r="D703" s="62" t="s">
        <v>166</v>
      </c>
      <c r="E703" s="56"/>
      <c r="F703" s="56"/>
      <c r="G703" s="56"/>
      <c r="H703" s="56"/>
      <c r="J703" s="1">
        <v>13</v>
      </c>
      <c r="M703" s="1" t="s">
        <v>2</v>
      </c>
      <c r="N703" s="1" t="s">
        <v>3</v>
      </c>
      <c r="O703" s="1" t="s">
        <v>4</v>
      </c>
      <c r="P703" s="1" t="s">
        <v>5</v>
      </c>
      <c r="S703" s="1">
        <f t="shared" si="939"/>
        <v>13</v>
      </c>
      <c r="T703" s="1">
        <v>206</v>
      </c>
    </row>
    <row r="704" spans="1:20" x14ac:dyDescent="0.3">
      <c r="A704" s="1">
        <f t="shared" si="948"/>
        <v>13207</v>
      </c>
      <c r="B704" s="57" t="s">
        <v>11</v>
      </c>
      <c r="C704" s="57"/>
      <c r="D704" s="63">
        <v>46071</v>
      </c>
      <c r="E704" s="63"/>
      <c r="F704" s="63"/>
      <c r="G704" s="63"/>
      <c r="H704" s="63"/>
      <c r="J704" s="1" t="str">
        <f t="shared" ref="J704" si="968">CONCATENATE(J703,"1")</f>
        <v>131</v>
      </c>
      <c r="M704" s="1" t="e">
        <f t="array" ref="M704:P706">LINEST($B714:$B728,$C714:$C728^{1,2,3},TRUE,TRUE)</f>
        <v>#VALUE!</v>
      </c>
      <c r="N704" s="1" t="e">
        <v>#VALUE!</v>
      </c>
      <c r="O704" s="1" t="e">
        <v>#VALUE!</v>
      </c>
      <c r="P704" s="1" t="e">
        <v>#VALUE!</v>
      </c>
      <c r="S704" s="1">
        <f t="shared" si="939"/>
        <v>13</v>
      </c>
      <c r="T704" s="1">
        <v>207</v>
      </c>
    </row>
    <row r="705" spans="1:20" x14ac:dyDescent="0.3">
      <c r="A705" s="1">
        <f t="shared" si="948"/>
        <v>13208</v>
      </c>
      <c r="B705" s="57" t="s">
        <v>12</v>
      </c>
      <c r="C705" s="57"/>
      <c r="D705" s="58">
        <v>46446</v>
      </c>
      <c r="E705" s="58"/>
      <c r="F705" s="58"/>
      <c r="G705" s="58"/>
      <c r="H705" s="58"/>
      <c r="J705" s="1" t="str">
        <f t="shared" ref="J705" si="969">CONCATENATE(J703,"2")</f>
        <v>132</v>
      </c>
      <c r="M705" s="1" t="e">
        <v>#VALUE!</v>
      </c>
      <c r="N705" s="1" t="e">
        <v>#VALUE!</v>
      </c>
      <c r="O705" s="1" t="e">
        <v>#VALUE!</v>
      </c>
      <c r="P705" s="1" t="e">
        <v>#VALUE!</v>
      </c>
      <c r="S705" s="1">
        <f t="shared" si="939"/>
        <v>13</v>
      </c>
      <c r="T705" s="1">
        <v>208</v>
      </c>
    </row>
    <row r="706" spans="1:20" x14ac:dyDescent="0.3">
      <c r="A706" s="1">
        <f t="shared" si="948"/>
        <v>13209</v>
      </c>
      <c r="B706" s="57" t="s">
        <v>13</v>
      </c>
      <c r="C706" s="57"/>
      <c r="D706" s="9">
        <v>0.1</v>
      </c>
      <c r="E706" s="54" t="s">
        <v>14</v>
      </c>
      <c r="F706" s="54"/>
      <c r="G706" s="54"/>
      <c r="H706" s="9" t="s">
        <v>59</v>
      </c>
      <c r="J706" s="1" t="str">
        <f t="shared" ref="J706" si="970">CONCATENATE(J703,"3")</f>
        <v>133</v>
      </c>
      <c r="M706" s="1" t="e">
        <v>#VALUE!</v>
      </c>
      <c r="N706" s="1" t="e">
        <v>#VALUE!</v>
      </c>
      <c r="O706" s="1" t="e">
        <v>#VALUE!</v>
      </c>
      <c r="P706" s="1" t="e">
        <v>#VALUE!</v>
      </c>
      <c r="S706" s="1">
        <f t="shared" si="939"/>
        <v>13</v>
      </c>
      <c r="T706" s="1">
        <v>209</v>
      </c>
    </row>
    <row r="707" spans="1:20" x14ac:dyDescent="0.3">
      <c r="A707" s="1">
        <f t="shared" si="948"/>
        <v>13210</v>
      </c>
      <c r="B707" s="57" t="s">
        <v>15</v>
      </c>
      <c r="C707" s="57"/>
      <c r="D707" s="2">
        <f>MIN(B714:B728)</f>
        <v>501.2</v>
      </c>
      <c r="E707" s="4" t="s">
        <v>16</v>
      </c>
      <c r="F707" s="2">
        <f>MAX(B714:B728)</f>
        <v>1099.7</v>
      </c>
      <c r="G707" s="5" t="str">
        <f>IF(H706="","",H706)</f>
        <v>hPa</v>
      </c>
      <c r="H707" s="23"/>
      <c r="J707" s="1">
        <f t="shared" ref="J707" si="971">J703-1</f>
        <v>12</v>
      </c>
      <c r="M707" s="1" t="s">
        <v>2</v>
      </c>
      <c r="N707" s="1" t="s">
        <v>3</v>
      </c>
      <c r="O707" s="1" t="s">
        <v>4</v>
      </c>
      <c r="P707" s="1" t="s">
        <v>5</v>
      </c>
      <c r="S707" s="1">
        <f t="shared" si="939"/>
        <v>13</v>
      </c>
      <c r="T707" s="1">
        <v>210</v>
      </c>
    </row>
    <row r="708" spans="1:20" x14ac:dyDescent="0.3">
      <c r="A708" s="1">
        <f t="shared" si="948"/>
        <v>13211</v>
      </c>
      <c r="J708" s="1" t="str">
        <f t="shared" ref="J708" si="972">CONCATENATE(J707,"1")</f>
        <v>121</v>
      </c>
      <c r="M708" s="1" t="e">
        <f t="array" ref="M708:P710">LINEST($B714:$B727,$C714:$C727^{1,2,3},TRUE,TRUE)</f>
        <v>#VALUE!</v>
      </c>
      <c r="N708" s="1" t="e">
        <v>#VALUE!</v>
      </c>
      <c r="O708" s="1" t="e">
        <v>#VALUE!</v>
      </c>
      <c r="P708" s="1" t="e">
        <v>#VALUE!</v>
      </c>
      <c r="S708" s="1">
        <f t="shared" si="939"/>
        <v>13</v>
      </c>
      <c r="T708" s="1">
        <v>211</v>
      </c>
    </row>
    <row r="709" spans="1:20" x14ac:dyDescent="0.3">
      <c r="A709" s="1">
        <f t="shared" si="948"/>
        <v>13212</v>
      </c>
      <c r="B709" s="59" t="s">
        <v>17</v>
      </c>
      <c r="C709" s="59"/>
      <c r="D709" s="59"/>
      <c r="E709" s="59"/>
      <c r="F709" s="59"/>
      <c r="G709" s="60" t="s">
        <v>29</v>
      </c>
      <c r="H709" s="61"/>
      <c r="J709" s="1" t="str">
        <f t="shared" ref="J709" si="973">CONCATENATE(J707,"2")</f>
        <v>122</v>
      </c>
      <c r="M709" s="1" t="e">
        <v>#VALUE!</v>
      </c>
      <c r="N709" s="1" t="e">
        <v>#VALUE!</v>
      </c>
      <c r="O709" s="1" t="e">
        <v>#VALUE!</v>
      </c>
      <c r="P709" s="1" t="e">
        <v>#VALUE!</v>
      </c>
      <c r="S709" s="1">
        <f t="shared" si="939"/>
        <v>13</v>
      </c>
      <c r="T709" s="1">
        <v>212</v>
      </c>
    </row>
    <row r="710" spans="1:20" x14ac:dyDescent="0.3">
      <c r="A710" s="1">
        <f t="shared" si="948"/>
        <v>13213</v>
      </c>
      <c r="B710" s="54" t="s">
        <v>18</v>
      </c>
      <c r="C710" s="54"/>
      <c r="D710" s="54"/>
      <c r="E710" s="54" t="str">
        <f>IF(D703="","",D703)</f>
        <v>E0093/26</v>
      </c>
      <c r="F710" s="54"/>
      <c r="G710" s="5" t="s">
        <v>18</v>
      </c>
      <c r="H710" s="20" t="s">
        <v>125</v>
      </c>
      <c r="J710" s="1" t="str">
        <f t="shared" ref="J710" si="974">CONCATENATE(J707,"3")</f>
        <v>123</v>
      </c>
      <c r="M710" s="1" t="e">
        <v>#VALUE!</v>
      </c>
      <c r="N710" s="1" t="e">
        <v>#VALUE!</v>
      </c>
      <c r="O710" s="1" t="e">
        <v>#VALUE!</v>
      </c>
      <c r="P710" s="1" t="e">
        <v>#VALUE!</v>
      </c>
      <c r="S710" s="1">
        <f t="shared" si="939"/>
        <v>13</v>
      </c>
      <c r="T710" s="1">
        <v>213</v>
      </c>
    </row>
    <row r="711" spans="1:20" ht="15" customHeight="1" x14ac:dyDescent="0.3">
      <c r="A711" s="1">
        <f t="shared" si="948"/>
        <v>13214</v>
      </c>
      <c r="B711" s="6" t="s">
        <v>19</v>
      </c>
      <c r="C711" s="6" t="s">
        <v>20</v>
      </c>
      <c r="D711" s="6" t="s">
        <v>21</v>
      </c>
      <c r="E711" s="6"/>
      <c r="F711" s="55" t="s">
        <v>31</v>
      </c>
      <c r="G711" s="6" t="s">
        <v>19</v>
      </c>
      <c r="H711" s="6" t="s">
        <v>20</v>
      </c>
      <c r="J711" s="1">
        <f t="shared" ref="J711" si="975">J707-1</f>
        <v>11</v>
      </c>
      <c r="M711" s="1" t="s">
        <v>2</v>
      </c>
      <c r="N711" s="1" t="s">
        <v>3</v>
      </c>
      <c r="O711" s="1" t="s">
        <v>4</v>
      </c>
      <c r="P711" s="1" t="s">
        <v>5</v>
      </c>
      <c r="S711" s="1">
        <f t="shared" si="939"/>
        <v>13</v>
      </c>
      <c r="T711" s="1">
        <v>214</v>
      </c>
    </row>
    <row r="712" spans="1:20" x14ac:dyDescent="0.3">
      <c r="A712" s="1">
        <f t="shared" si="948"/>
        <v>13215</v>
      </c>
      <c r="B712" s="6" t="s">
        <v>22</v>
      </c>
      <c r="C712" s="6" t="s">
        <v>23</v>
      </c>
      <c r="D712" s="6" t="s">
        <v>24</v>
      </c>
      <c r="E712" s="6" t="s">
        <v>30</v>
      </c>
      <c r="F712" s="55"/>
      <c r="G712" s="6" t="s">
        <v>22</v>
      </c>
      <c r="H712" s="6" t="s">
        <v>23</v>
      </c>
      <c r="J712" s="1" t="str">
        <f t="shared" ref="J712" si="976">CONCATENATE(J711,"1")</f>
        <v>111</v>
      </c>
      <c r="M712" s="1">
        <f t="array" ref="M712:P714">LINEST($B714:$B726,$C714:$C726^{1,2,3},TRUE,TRUE)</f>
        <v>-7.947611683699974E-9</v>
      </c>
      <c r="N712" s="1">
        <v>2.0081707130848176E-5</v>
      </c>
      <c r="O712" s="1">
        <v>0.98314025552509976</v>
      </c>
      <c r="P712" s="1">
        <v>4.5311683372956049</v>
      </c>
      <c r="S712" s="1">
        <f t="shared" si="939"/>
        <v>13</v>
      </c>
      <c r="T712" s="1">
        <v>215</v>
      </c>
    </row>
    <row r="713" spans="1:20" x14ac:dyDescent="0.3">
      <c r="A713" s="1">
        <f t="shared" si="948"/>
        <v>13216</v>
      </c>
      <c r="B713" s="7" t="str">
        <f>IF(H706="","",H706)</f>
        <v>hPa</v>
      </c>
      <c r="C713" s="7" t="str">
        <f>IF(H706="","",H706)</f>
        <v>hPa</v>
      </c>
      <c r="D713" s="7" t="str">
        <f>IF(H706="","",H706)</f>
        <v>hPa</v>
      </c>
      <c r="E713" s="7"/>
      <c r="F713" s="7" t="str">
        <f>IF(I706="","",I706)</f>
        <v/>
      </c>
      <c r="G713" s="7" t="str">
        <f>IF(H706="","",H706)</f>
        <v>hPa</v>
      </c>
      <c r="H713" s="7" t="str">
        <f>IF(H706="","",H706)</f>
        <v>hPa</v>
      </c>
      <c r="J713" s="1" t="str">
        <f t="shared" ref="J713" si="977">CONCATENATE(J711,"2")</f>
        <v>112</v>
      </c>
      <c r="M713" s="1">
        <v>3.3472027497262754E-9</v>
      </c>
      <c r="N713" s="1">
        <v>8.0554563684413841E-6</v>
      </c>
      <c r="O713" s="1">
        <v>6.284237945627975E-3</v>
      </c>
      <c r="P713" s="1">
        <v>1.5847217572328887</v>
      </c>
      <c r="S713" s="1">
        <f t="shared" si="939"/>
        <v>13</v>
      </c>
      <c r="T713" s="1">
        <v>216</v>
      </c>
    </row>
    <row r="714" spans="1:20" x14ac:dyDescent="0.3">
      <c r="A714" s="1">
        <f t="shared" si="948"/>
        <v>13217</v>
      </c>
      <c r="B714" s="24">
        <v>501.2</v>
      </c>
      <c r="C714" s="24">
        <v>501</v>
      </c>
      <c r="D714" s="21">
        <v>0.3</v>
      </c>
      <c r="E714" s="24">
        <v>2</v>
      </c>
      <c r="F714" s="24">
        <v>1000000</v>
      </c>
      <c r="G714" s="25">
        <v>500.9</v>
      </c>
      <c r="H714" s="25">
        <v>501</v>
      </c>
      <c r="J714" s="1" t="str">
        <f t="shared" ref="J714" si="978">CONCATENATE(J711,"3")</f>
        <v>113</v>
      </c>
      <c r="M714" s="1">
        <v>0.99999992928848835</v>
      </c>
      <c r="N714" s="1">
        <v>5.9721876740242867E-2</v>
      </c>
      <c r="O714" s="1" t="e">
        <v>#N/A</v>
      </c>
      <c r="P714" s="1" t="e">
        <v>#N/A</v>
      </c>
      <c r="S714" s="1">
        <f t="shared" si="939"/>
        <v>13</v>
      </c>
      <c r="T714" s="1">
        <v>217</v>
      </c>
    </row>
    <row r="715" spans="1:20" x14ac:dyDescent="0.3">
      <c r="A715" s="1">
        <f t="shared" si="948"/>
        <v>13218</v>
      </c>
      <c r="B715" s="24">
        <v>549.9</v>
      </c>
      <c r="C715" s="24">
        <v>550</v>
      </c>
      <c r="D715" s="21">
        <v>0.3</v>
      </c>
      <c r="E715" s="24">
        <v>2</v>
      </c>
      <c r="F715" s="24">
        <v>1000000</v>
      </c>
      <c r="G715" s="25">
        <v>549.9</v>
      </c>
      <c r="H715" s="25">
        <v>550</v>
      </c>
      <c r="J715" s="1">
        <f t="shared" ref="J715" si="979">J711-1</f>
        <v>10</v>
      </c>
      <c r="M715" s="1" t="s">
        <v>2</v>
      </c>
      <c r="N715" s="1" t="s">
        <v>3</v>
      </c>
      <c r="O715" s="1" t="s">
        <v>4</v>
      </c>
      <c r="P715" s="1" t="s">
        <v>5</v>
      </c>
      <c r="S715" s="1">
        <f t="shared" si="939"/>
        <v>13</v>
      </c>
      <c r="T715" s="1">
        <v>218</v>
      </c>
    </row>
    <row r="716" spans="1:20" x14ac:dyDescent="0.3">
      <c r="A716" s="1">
        <f t="shared" si="948"/>
        <v>13219</v>
      </c>
      <c r="B716" s="24">
        <v>599.9</v>
      </c>
      <c r="C716" s="24">
        <v>600</v>
      </c>
      <c r="D716" s="21">
        <v>0.3</v>
      </c>
      <c r="E716" s="24">
        <v>2</v>
      </c>
      <c r="F716" s="24">
        <v>1000000</v>
      </c>
      <c r="G716" s="25">
        <v>599.9</v>
      </c>
      <c r="H716" s="25">
        <v>600</v>
      </c>
      <c r="J716" s="1" t="str">
        <f t="shared" ref="J716" si="980">CONCATENATE(J715,"1")</f>
        <v>101</v>
      </c>
      <c r="M716" s="1">
        <f t="array" ref="M716:P718">LINEST($B714:$B725,$C714:$C725^{1,2,3},TRUE,TRUE)</f>
        <v>-7.3733267038801388E-9</v>
      </c>
      <c r="N716" s="1">
        <v>1.8800894248653337E-5</v>
      </c>
      <c r="O716" s="1">
        <v>0.98406577463490752</v>
      </c>
      <c r="P716" s="1">
        <v>4.3147353296425353</v>
      </c>
      <c r="S716" s="1">
        <f t="shared" si="939"/>
        <v>13</v>
      </c>
      <c r="T716" s="1">
        <v>219</v>
      </c>
    </row>
    <row r="717" spans="1:20" x14ac:dyDescent="0.3">
      <c r="A717" s="1">
        <f t="shared" si="948"/>
        <v>13220</v>
      </c>
      <c r="B717" s="24">
        <v>649.9</v>
      </c>
      <c r="C717" s="24">
        <v>650</v>
      </c>
      <c r="D717" s="21">
        <v>0.3</v>
      </c>
      <c r="E717" s="24">
        <v>2</v>
      </c>
      <c r="F717" s="24">
        <v>1000000</v>
      </c>
      <c r="G717" s="25">
        <v>649.9</v>
      </c>
      <c r="H717" s="25">
        <v>650</v>
      </c>
      <c r="J717" s="1" t="str">
        <f t="shared" ref="J717" si="981">CONCATENATE(J715,"2")</f>
        <v>102</v>
      </c>
      <c r="M717" s="1">
        <v>4.7266625564409641E-9</v>
      </c>
      <c r="N717" s="1">
        <v>1.1017803358376509E-5</v>
      </c>
      <c r="O717" s="1">
        <v>8.3467889907506056E-3</v>
      </c>
      <c r="P717" s="1">
        <v>2.0503461783063552</v>
      </c>
      <c r="S717" s="1">
        <f t="shared" si="939"/>
        <v>13</v>
      </c>
      <c r="T717" s="1">
        <v>220</v>
      </c>
    </row>
    <row r="718" spans="1:20" x14ac:dyDescent="0.3">
      <c r="A718" s="1">
        <f t="shared" si="948"/>
        <v>13221</v>
      </c>
      <c r="B718" s="24">
        <v>699.9</v>
      </c>
      <c r="C718" s="24">
        <v>700</v>
      </c>
      <c r="D718" s="21">
        <v>0.3</v>
      </c>
      <c r="E718" s="24">
        <v>2</v>
      </c>
      <c r="F718" s="24">
        <v>1000000</v>
      </c>
      <c r="G718" s="25">
        <v>700</v>
      </c>
      <c r="H718" s="25">
        <v>700</v>
      </c>
      <c r="J718" s="1" t="str">
        <f t="shared" ref="J718" si="982">CONCATENATE(J715,"3")</f>
        <v>103</v>
      </c>
      <c r="M718" s="1">
        <v>0.99999991036394276</v>
      </c>
      <c r="N718" s="1">
        <v>6.3211664019531238E-2</v>
      </c>
      <c r="O718" s="1" t="e">
        <v>#N/A</v>
      </c>
      <c r="P718" s="1" t="e">
        <v>#N/A</v>
      </c>
      <c r="S718" s="1">
        <f t="shared" si="939"/>
        <v>13</v>
      </c>
      <c r="T718" s="1">
        <v>221</v>
      </c>
    </row>
    <row r="719" spans="1:20" x14ac:dyDescent="0.3">
      <c r="A719" s="1">
        <f t="shared" si="948"/>
        <v>13222</v>
      </c>
      <c r="B719" s="24">
        <v>749.8</v>
      </c>
      <c r="C719" s="24">
        <v>750</v>
      </c>
      <c r="D719" s="21">
        <v>0.3</v>
      </c>
      <c r="E719" s="24">
        <v>2</v>
      </c>
      <c r="F719" s="24">
        <v>1000000</v>
      </c>
      <c r="G719" s="25">
        <v>749.9</v>
      </c>
      <c r="H719" s="25">
        <v>750</v>
      </c>
      <c r="J719" s="1">
        <f t="shared" ref="J719" si="983">J715-1</f>
        <v>9</v>
      </c>
      <c r="M719" s="1" t="s">
        <v>2</v>
      </c>
      <c r="N719" s="1" t="s">
        <v>3</v>
      </c>
      <c r="O719" s="1" t="s">
        <v>4</v>
      </c>
      <c r="P719" s="1" t="s">
        <v>5</v>
      </c>
      <c r="S719" s="1">
        <f t="shared" si="939"/>
        <v>13</v>
      </c>
      <c r="T719" s="1">
        <v>222</v>
      </c>
    </row>
    <row r="720" spans="1:20" x14ac:dyDescent="0.3">
      <c r="A720" s="1">
        <f t="shared" si="948"/>
        <v>13223</v>
      </c>
      <c r="B720" s="24">
        <v>799.9</v>
      </c>
      <c r="C720" s="24">
        <v>800</v>
      </c>
      <c r="D720" s="21">
        <v>0.3</v>
      </c>
      <c r="E720" s="24">
        <v>2</v>
      </c>
      <c r="F720" s="24">
        <v>1000000</v>
      </c>
      <c r="G720" s="25">
        <v>799.9</v>
      </c>
      <c r="H720" s="25">
        <v>800</v>
      </c>
      <c r="J720" s="1" t="str">
        <f t="shared" ref="J720" si="984">CONCATENATE(J719,"1")</f>
        <v>91</v>
      </c>
      <c r="M720" s="1">
        <f t="array" ref="M720:P722">LINEST($B714:$B724,$C714:$C724^{1,2,3},TRUE,TRUE)</f>
        <v>-1.076355968465129E-8</v>
      </c>
      <c r="N720" s="1">
        <v>2.6144254259480162E-5</v>
      </c>
      <c r="O720" s="1">
        <v>0.97889633049873814</v>
      </c>
      <c r="P720" s="1">
        <v>5.496422640621538</v>
      </c>
      <c r="S720" s="1">
        <f t="shared" si="939"/>
        <v>13</v>
      </c>
      <c r="T720" s="1">
        <v>223</v>
      </c>
    </row>
    <row r="721" spans="1:20" x14ac:dyDescent="0.3">
      <c r="A721" s="1">
        <f t="shared" si="948"/>
        <v>13224</v>
      </c>
      <c r="B721" s="24">
        <v>849.8</v>
      </c>
      <c r="C721" s="24">
        <v>850</v>
      </c>
      <c r="D721" s="21">
        <v>0.3</v>
      </c>
      <c r="E721" s="24">
        <v>2</v>
      </c>
      <c r="F721" s="24">
        <v>1000000</v>
      </c>
      <c r="G721" s="25">
        <v>849.9</v>
      </c>
      <c r="H721" s="25">
        <v>850</v>
      </c>
      <c r="J721" s="1" t="str">
        <f t="shared" ref="J721" si="985">CONCATENATE(J719,"2")</f>
        <v>92</v>
      </c>
      <c r="M721" s="1">
        <v>6.6657069987650864E-9</v>
      </c>
      <c r="N721" s="1">
        <v>1.5033731414394025E-5</v>
      </c>
      <c r="O721" s="1">
        <v>1.1048869429768399E-2</v>
      </c>
      <c r="P721" s="1">
        <v>2.6411705718101759</v>
      </c>
      <c r="S721" s="1">
        <f t="shared" si="939"/>
        <v>13</v>
      </c>
      <c r="T721" s="1">
        <v>224</v>
      </c>
    </row>
    <row r="722" spans="1:20" x14ac:dyDescent="0.3">
      <c r="A722" s="1">
        <f t="shared" si="948"/>
        <v>13225</v>
      </c>
      <c r="B722" s="24">
        <v>899.8</v>
      </c>
      <c r="C722" s="24">
        <v>900</v>
      </c>
      <c r="D722" s="21">
        <v>0.3</v>
      </c>
      <c r="E722" s="24">
        <v>2</v>
      </c>
      <c r="F722" s="24">
        <v>1000000</v>
      </c>
      <c r="G722" s="25">
        <v>899.9</v>
      </c>
      <c r="H722" s="25">
        <v>900</v>
      </c>
      <c r="J722" s="1" t="str">
        <f t="shared" ref="J722" si="986">CONCATENATE(J719,"3")</f>
        <v>93</v>
      </c>
      <c r="M722" s="1">
        <v>0.99999989196754202</v>
      </c>
      <c r="N722" s="1">
        <v>6.5053562524585037E-2</v>
      </c>
      <c r="O722" s="1" t="e">
        <v>#N/A</v>
      </c>
      <c r="P722" s="1" t="e">
        <v>#N/A</v>
      </c>
      <c r="S722" s="1">
        <f t="shared" si="939"/>
        <v>13</v>
      </c>
      <c r="T722" s="1">
        <v>225</v>
      </c>
    </row>
    <row r="723" spans="1:20" x14ac:dyDescent="0.3">
      <c r="A723" s="1">
        <f t="shared" si="948"/>
        <v>13226</v>
      </c>
      <c r="B723" s="24">
        <v>949.8</v>
      </c>
      <c r="C723" s="24">
        <v>950</v>
      </c>
      <c r="D723" s="21">
        <v>0.3</v>
      </c>
      <c r="E723" s="24">
        <v>2</v>
      </c>
      <c r="F723" s="24">
        <v>1000000</v>
      </c>
      <c r="G723" s="25">
        <v>949.9</v>
      </c>
      <c r="H723" s="25">
        <v>950</v>
      </c>
      <c r="J723" s="1">
        <f t="shared" ref="J723" si="987">J719-1</f>
        <v>8</v>
      </c>
      <c r="M723" s="1" t="s">
        <v>2</v>
      </c>
      <c r="N723" s="1" t="s">
        <v>3</v>
      </c>
      <c r="O723" s="1" t="s">
        <v>4</v>
      </c>
      <c r="P723" s="1" t="s">
        <v>5</v>
      </c>
      <c r="S723" s="1">
        <f t="shared" si="939"/>
        <v>13</v>
      </c>
      <c r="T723" s="1">
        <v>226</v>
      </c>
    </row>
    <row r="724" spans="1:20" x14ac:dyDescent="0.3">
      <c r="A724" s="1">
        <f t="shared" si="948"/>
        <v>13227</v>
      </c>
      <c r="B724" s="24">
        <v>999.8</v>
      </c>
      <c r="C724" s="24">
        <v>1000</v>
      </c>
      <c r="D724" s="21">
        <v>0.3</v>
      </c>
      <c r="E724" s="24">
        <v>2</v>
      </c>
      <c r="F724" s="24">
        <v>1000000</v>
      </c>
      <c r="G724" s="25">
        <v>999.9</v>
      </c>
      <c r="H724" s="25">
        <v>1000</v>
      </c>
      <c r="J724" s="1" t="str">
        <f t="shared" ref="J724" si="988">CONCATENATE(J723,"1")</f>
        <v>81</v>
      </c>
      <c r="M724" s="1">
        <f t="array" ref="M724:P726">LINEST($B714:$B723,$C714:$C723^{1,2,3},TRUE,TRUE)</f>
        <v>-1.6723517236104352E-8</v>
      </c>
      <c r="N724" s="1">
        <v>3.8670829103727196E-5</v>
      </c>
      <c r="O724" s="1">
        <v>0.97031316320995886</v>
      </c>
      <c r="P724" s="1">
        <v>7.4125439053004225</v>
      </c>
      <c r="S724" s="1">
        <f t="shared" si="939"/>
        <v>13</v>
      </c>
      <c r="T724" s="1">
        <v>227</v>
      </c>
    </row>
    <row r="725" spans="1:20" x14ac:dyDescent="0.3">
      <c r="A725" s="1">
        <f t="shared" si="948"/>
        <v>13228</v>
      </c>
      <c r="B725" s="24">
        <v>1049.8</v>
      </c>
      <c r="C725" s="24">
        <v>1050</v>
      </c>
      <c r="D725" s="21">
        <v>0.3</v>
      </c>
      <c r="E725" s="24">
        <v>2</v>
      </c>
      <c r="F725" s="24">
        <v>1000000</v>
      </c>
      <c r="G725" s="25">
        <v>1050</v>
      </c>
      <c r="H725" s="25">
        <v>1050</v>
      </c>
      <c r="J725" s="1" t="str">
        <f t="shared" ref="J725" si="989">CONCATENATE(J723,"2")</f>
        <v>82</v>
      </c>
      <c r="M725" s="1">
        <v>9.5933635755364961E-9</v>
      </c>
      <c r="N725" s="1">
        <v>2.0911689391257964E-5</v>
      </c>
      <c r="O725" s="1">
        <v>1.4893485845292534E-2</v>
      </c>
      <c r="P725" s="1">
        <v>3.4607296197383417</v>
      </c>
      <c r="S725" s="1">
        <f t="shared" si="939"/>
        <v>13</v>
      </c>
      <c r="T725" s="1">
        <v>228</v>
      </c>
    </row>
    <row r="726" spans="1:20" x14ac:dyDescent="0.3">
      <c r="A726" s="1">
        <f t="shared" si="948"/>
        <v>13229</v>
      </c>
      <c r="B726" s="24">
        <v>1099.7</v>
      </c>
      <c r="C726" s="24">
        <v>1100</v>
      </c>
      <c r="D726" s="21">
        <v>0.3</v>
      </c>
      <c r="E726" s="24">
        <v>2</v>
      </c>
      <c r="F726" s="24">
        <v>1000000</v>
      </c>
      <c r="G726" s="25">
        <v>1099.9000000000001</v>
      </c>
      <c r="H726" s="25">
        <v>1100</v>
      </c>
      <c r="J726" s="1" t="str">
        <f t="shared" ref="J726" si="990">CONCATENATE(J723,"3")</f>
        <v>83</v>
      </c>
      <c r="M726" s="1">
        <v>0.99999987228763532</v>
      </c>
      <c r="N726" s="1">
        <v>6.6146460878833732E-2</v>
      </c>
      <c r="O726" s="1" t="e">
        <v>#N/A</v>
      </c>
      <c r="P726" s="1" t="e">
        <v>#N/A</v>
      </c>
      <c r="S726" s="1">
        <f t="shared" si="939"/>
        <v>13</v>
      </c>
      <c r="T726" s="1">
        <v>229</v>
      </c>
    </row>
    <row r="727" spans="1:20" x14ac:dyDescent="0.3">
      <c r="A727" s="1">
        <f t="shared" si="948"/>
        <v>13230</v>
      </c>
      <c r="B727" s="24"/>
      <c r="C727" s="24"/>
      <c r="D727" s="24"/>
      <c r="E727" s="24"/>
      <c r="F727" s="24"/>
      <c r="G727" s="25"/>
      <c r="H727" s="25"/>
      <c r="J727" s="1">
        <f t="shared" ref="J727" si="991">J723-1</f>
        <v>7</v>
      </c>
      <c r="M727" s="1" t="s">
        <v>2</v>
      </c>
      <c r="N727" s="1" t="s">
        <v>3</v>
      </c>
      <c r="O727" s="1" t="s">
        <v>4</v>
      </c>
      <c r="P727" s="1" t="s">
        <v>5</v>
      </c>
      <c r="S727" s="1">
        <f t="shared" si="939"/>
        <v>13</v>
      </c>
      <c r="T727" s="1">
        <v>230</v>
      </c>
    </row>
    <row r="728" spans="1:20" x14ac:dyDescent="0.3">
      <c r="A728" s="1">
        <f t="shared" si="948"/>
        <v>13231</v>
      </c>
      <c r="B728" s="24"/>
      <c r="C728" s="24"/>
      <c r="D728" s="24"/>
      <c r="E728" s="24"/>
      <c r="F728" s="24"/>
      <c r="G728" s="25"/>
      <c r="H728" s="25"/>
      <c r="J728" s="1" t="str">
        <f t="shared" ref="J728" si="992">CONCATENATE(J727,"1")</f>
        <v>71</v>
      </c>
      <c r="M728" s="1">
        <f t="array" ref="M728:P730">LINEST($B714:$B722,$C714:$C722^{1,2,3},TRUE,TRUE)</f>
        <v>-2.715826179301322E-8</v>
      </c>
      <c r="N728" s="1">
        <v>5.9931993576788951E-5</v>
      </c>
      <c r="O728" s="1">
        <v>0.95614695973565722</v>
      </c>
      <c r="P728" s="1">
        <v>10.497882238958148</v>
      </c>
      <c r="S728" s="1">
        <f t="shared" si="939"/>
        <v>13</v>
      </c>
      <c r="T728" s="1">
        <v>231</v>
      </c>
    </row>
    <row r="729" spans="1:20" x14ac:dyDescent="0.3">
      <c r="A729" s="1">
        <f t="shared" si="948"/>
        <v>13232</v>
      </c>
      <c r="B729" s="2">
        <f t="shared" ref="B729" si="993">COUNT(B714:B728)-2</f>
        <v>11</v>
      </c>
      <c r="J729" s="1" t="str">
        <f t="shared" ref="J729" si="994">CONCATENATE(J727,"2")</f>
        <v>72</v>
      </c>
      <c r="M729" s="1">
        <v>1.4120946568567716E-8</v>
      </c>
      <c r="N729" s="1">
        <v>2.9714161296739346E-5</v>
      </c>
      <c r="O729" s="1">
        <v>2.0484071842372484E-2</v>
      </c>
      <c r="P729" s="1">
        <v>4.6211918677477755</v>
      </c>
      <c r="S729" s="1">
        <f t="shared" si="939"/>
        <v>13</v>
      </c>
      <c r="T729" s="1">
        <v>232</v>
      </c>
    </row>
    <row r="730" spans="1:20" x14ac:dyDescent="0.3">
      <c r="A730" s="1">
        <f t="shared" si="948"/>
        <v>13233</v>
      </c>
      <c r="J730" s="1" t="str">
        <f t="shared" ref="J730" si="995">CONCATENATE(J727,"3")</f>
        <v>73</v>
      </c>
      <c r="M730" s="1">
        <v>0.9999998538710978</v>
      </c>
      <c r="N730" s="1">
        <v>6.6078579118964711E-2</v>
      </c>
      <c r="O730" s="1" t="e">
        <v>#N/A</v>
      </c>
      <c r="P730" s="1" t="e">
        <v>#N/A</v>
      </c>
      <c r="S730" s="1">
        <f t="shared" si="939"/>
        <v>13</v>
      </c>
      <c r="T730" s="1">
        <v>233</v>
      </c>
    </row>
    <row r="731" spans="1:20" x14ac:dyDescent="0.3">
      <c r="A731" s="1">
        <f t="shared" si="948"/>
        <v>13234</v>
      </c>
      <c r="B731" s="54" t="s">
        <v>25</v>
      </c>
      <c r="C731" s="54"/>
      <c r="D731" s="54"/>
      <c r="E731" s="54"/>
      <c r="F731" s="54"/>
      <c r="G731" s="54"/>
      <c r="H731" s="54"/>
      <c r="J731" s="1">
        <f t="shared" ref="J731" si="996">J727-1</f>
        <v>6</v>
      </c>
      <c r="M731" s="1" t="s">
        <v>2</v>
      </c>
      <c r="N731" s="1" t="s">
        <v>3</v>
      </c>
      <c r="O731" s="1" t="s">
        <v>4</v>
      </c>
      <c r="P731" s="1" t="s">
        <v>5</v>
      </c>
      <c r="S731" s="1">
        <f t="shared" si="939"/>
        <v>13</v>
      </c>
      <c r="T731" s="1">
        <v>234</v>
      </c>
    </row>
    <row r="732" spans="1:20" x14ac:dyDescent="0.3">
      <c r="A732" s="1">
        <f t="shared" si="948"/>
        <v>13235</v>
      </c>
      <c r="B732" s="56"/>
      <c r="C732" s="56"/>
      <c r="D732" s="56"/>
      <c r="E732" s="56"/>
      <c r="F732" s="56"/>
      <c r="G732" s="56"/>
      <c r="H732" s="56"/>
      <c r="J732" s="1" t="str">
        <f t="shared" ref="J732" si="997">CONCATENATE(J731,"1")</f>
        <v>61</v>
      </c>
      <c r="M732" s="1">
        <f t="array" ref="M732:P734">LINEST($B714:$B721,$C714:$C721^{1,2,3},TRUE,TRUE)</f>
        <v>-4.2905137506634784E-8</v>
      </c>
      <c r="N732" s="1">
        <v>9.1004780429748764E-5</v>
      </c>
      <c r="O732" s="1">
        <v>0.93603538574384992</v>
      </c>
      <c r="P732" s="1">
        <v>14.766441876209379</v>
      </c>
      <c r="S732" s="1">
        <f t="shared" si="939"/>
        <v>13</v>
      </c>
      <c r="T732" s="1">
        <v>235</v>
      </c>
    </row>
    <row r="733" spans="1:20" x14ac:dyDescent="0.3">
      <c r="A733" s="1">
        <f t="shared" si="948"/>
        <v>13236</v>
      </c>
      <c r="B733" s="56"/>
      <c r="C733" s="56"/>
      <c r="D733" s="56"/>
      <c r="E733" s="56"/>
      <c r="F733" s="56"/>
      <c r="G733" s="56"/>
      <c r="H733" s="56"/>
      <c r="J733" s="1" t="str">
        <f t="shared" ref="J733" si="998">CONCATENATE(J731,"2")</f>
        <v>62</v>
      </c>
      <c r="M733" s="1">
        <v>2.2216198978430375E-8</v>
      </c>
      <c r="N733" s="1">
        <v>4.5070977215752546E-5</v>
      </c>
      <c r="O733" s="1">
        <v>3.0035745265070097E-2</v>
      </c>
      <c r="P733" s="1">
        <v>6.5699179119366482</v>
      </c>
      <c r="S733" s="1">
        <f t="shared" si="939"/>
        <v>13</v>
      </c>
      <c r="T733" s="1">
        <v>236</v>
      </c>
    </row>
    <row r="734" spans="1:20" x14ac:dyDescent="0.3">
      <c r="A734" s="1">
        <f t="shared" si="948"/>
        <v>13237</v>
      </c>
      <c r="J734" s="1" t="str">
        <f t="shared" ref="J734" si="999">CONCATENATE(J731,"3")</f>
        <v>63</v>
      </c>
      <c r="M734" s="1">
        <v>0.99999982803779697</v>
      </c>
      <c r="N734" s="1">
        <v>6.7025104357937418E-2</v>
      </c>
      <c r="O734" s="1" t="e">
        <v>#N/A</v>
      </c>
      <c r="P734" s="1" t="e">
        <v>#N/A</v>
      </c>
      <c r="S734" s="1">
        <f t="shared" si="939"/>
        <v>13</v>
      </c>
      <c r="T734" s="1">
        <v>237</v>
      </c>
    </row>
    <row r="735" spans="1:20" ht="15" customHeight="1" x14ac:dyDescent="0.3">
      <c r="A735" s="1">
        <f t="shared" si="948"/>
        <v>13238</v>
      </c>
      <c r="J735" s="1">
        <f t="shared" ref="J735" si="1000">J731-1</f>
        <v>5</v>
      </c>
      <c r="M735" s="1" t="s">
        <v>2</v>
      </c>
      <c r="N735" s="1" t="s">
        <v>3</v>
      </c>
      <c r="O735" s="1" t="s">
        <v>4</v>
      </c>
      <c r="P735" s="1" t="s">
        <v>5</v>
      </c>
      <c r="S735" s="1">
        <f t="shared" si="939"/>
        <v>13</v>
      </c>
      <c r="T735" s="1">
        <v>238</v>
      </c>
    </row>
    <row r="736" spans="1:20" x14ac:dyDescent="0.3">
      <c r="A736" s="1">
        <f t="shared" si="948"/>
        <v>13239</v>
      </c>
      <c r="J736" s="1" t="str">
        <f t="shared" ref="J736" si="1001">CONCATENATE(J735,"1")</f>
        <v>51</v>
      </c>
      <c r="M736" s="1">
        <f t="array" ref="M736:P738">LINEST($B714:$B720,$C714:$C720^{1,2,3},TRUE,TRUE)</f>
        <v>-4.5130584347980003E-8</v>
      </c>
      <c r="N736" s="1">
        <v>9.5253096256128249E-5</v>
      </c>
      <c r="O736" s="1">
        <v>0.93336737545150517</v>
      </c>
      <c r="P736" s="1">
        <v>15.317589226304939</v>
      </c>
      <c r="S736" s="1">
        <f t="shared" si="939"/>
        <v>13</v>
      </c>
      <c r="T736" s="1">
        <v>239</v>
      </c>
    </row>
    <row r="737" spans="1:20" x14ac:dyDescent="0.3">
      <c r="A737" s="1">
        <f t="shared" si="948"/>
        <v>13240</v>
      </c>
      <c r="E737" s="26"/>
      <c r="F737" s="26"/>
      <c r="G737" s="26"/>
      <c r="H737" s="26"/>
      <c r="J737" s="1" t="str">
        <f t="shared" ref="J737" si="1002">CONCATENATE(J735,"2")</f>
        <v>52</v>
      </c>
      <c r="M737" s="1">
        <v>4.25704979469875E-8</v>
      </c>
      <c r="N737" s="1">
        <v>8.315088863176644E-5</v>
      </c>
      <c r="O737" s="1">
        <v>5.3491624393117894E-2</v>
      </c>
      <c r="P737" s="1">
        <v>11.327705894313926</v>
      </c>
      <c r="S737" s="1">
        <f t="shared" si="939"/>
        <v>13</v>
      </c>
      <c r="T737" s="1">
        <v>240</v>
      </c>
    </row>
    <row r="738" spans="1:20" x14ac:dyDescent="0.3">
      <c r="A738" s="1">
        <f t="shared" si="948"/>
        <v>13241</v>
      </c>
      <c r="B738" s="54" t="s">
        <v>90</v>
      </c>
      <c r="C738" s="54"/>
      <c r="D738" s="54"/>
      <c r="E738" s="27">
        <f t="shared" ref="E738" si="1003">IF(D700="","",MAX(E739,E740))</f>
        <v>0.30000000000001137</v>
      </c>
      <c r="F738" s="26"/>
      <c r="G738" s="26"/>
      <c r="H738" s="26"/>
      <c r="J738" s="1" t="str">
        <f t="shared" ref="J738" si="1004">CONCATENATE(J735,"3")</f>
        <v>53</v>
      </c>
      <c r="M738" s="1">
        <v>0.99999974215508003</v>
      </c>
      <c r="N738" s="1">
        <v>7.7338677865265631E-2</v>
      </c>
      <c r="O738" s="1" t="e">
        <v>#N/A</v>
      </c>
      <c r="P738" s="1" t="e">
        <v>#N/A</v>
      </c>
      <c r="S738" s="1">
        <f t="shared" si="939"/>
        <v>13</v>
      </c>
      <c r="T738" s="1">
        <v>241</v>
      </c>
    </row>
    <row r="739" spans="1:20" x14ac:dyDescent="0.3">
      <c r="A739" s="1">
        <f t="shared" si="948"/>
        <v>13242</v>
      </c>
      <c r="B739" s="2" t="s">
        <v>26</v>
      </c>
      <c r="C739" s="2" t="s">
        <v>27</v>
      </c>
      <c r="D739" s="2" t="s">
        <v>28</v>
      </c>
      <c r="E739" s="28">
        <f t="shared" ref="E739" si="1005">ABS(MIN(D740:D754))</f>
        <v>0.20000000000004547</v>
      </c>
      <c r="F739" s="26"/>
      <c r="H739" s="26"/>
      <c r="J739" s="1">
        <f t="shared" ref="J739" si="1006">J735-1</f>
        <v>4</v>
      </c>
      <c r="M739" s="1" t="s">
        <v>2</v>
      </c>
      <c r="N739" s="1" t="s">
        <v>3</v>
      </c>
      <c r="O739" s="1" t="s">
        <v>4</v>
      </c>
      <c r="P739" s="1" t="s">
        <v>5</v>
      </c>
      <c r="S739" s="1">
        <f t="shared" si="939"/>
        <v>13</v>
      </c>
      <c r="T739" s="1">
        <v>242</v>
      </c>
    </row>
    <row r="740" spans="1:20" x14ac:dyDescent="0.3">
      <c r="A740" s="1">
        <f t="shared" si="948"/>
        <v>13243</v>
      </c>
      <c r="B740" s="2">
        <f t="shared" ref="B740:B754" si="1007">C714-B714</f>
        <v>-0.19999999999998863</v>
      </c>
      <c r="C740" s="2">
        <f t="shared" ref="C740:C754" si="1008">H714-G714</f>
        <v>0.10000000000002274</v>
      </c>
      <c r="D740" s="2">
        <f t="shared" ref="D740:D754" si="1009">C740-B740</f>
        <v>0.30000000000001137</v>
      </c>
      <c r="E740" s="28">
        <f t="shared" ref="E740" si="1010">ABS(MAX(D740:D754))</f>
        <v>0.30000000000001137</v>
      </c>
      <c r="F740" s="26"/>
      <c r="H740" s="26"/>
      <c r="J740" s="1" t="str">
        <f t="shared" ref="J740" si="1011">CONCATENATE(J739,"1")</f>
        <v>41</v>
      </c>
      <c r="M740" s="1">
        <f t="array" ref="M740:P742">LINEST($B714:$B719,$C714:$C719^{1,2,3},TRUE,TRUE)</f>
        <v>-1.5084672598453899E-7</v>
      </c>
      <c r="N740" s="1">
        <v>2.9026072084356315E-4</v>
      </c>
      <c r="O740" s="1">
        <v>0.81468618852700236</v>
      </c>
      <c r="P740" s="1">
        <v>39.146412593733487</v>
      </c>
      <c r="S740" s="1">
        <f t="shared" si="939"/>
        <v>13</v>
      </c>
      <c r="T740" s="1">
        <v>243</v>
      </c>
    </row>
    <row r="741" spans="1:20" x14ac:dyDescent="0.3">
      <c r="A741" s="1">
        <f t="shared" si="948"/>
        <v>13244</v>
      </c>
      <c r="B741" s="2">
        <f t="shared" si="1007"/>
        <v>0.10000000000002274</v>
      </c>
      <c r="C741" s="2">
        <f t="shared" si="1008"/>
        <v>0.10000000000002274</v>
      </c>
      <c r="D741" s="2">
        <f t="shared" si="1009"/>
        <v>0</v>
      </c>
      <c r="E741" s="29" t="s">
        <v>32</v>
      </c>
      <c r="F741" s="26"/>
      <c r="H741" s="26"/>
      <c r="J741" s="1" t="str">
        <f t="shared" ref="J741" si="1012">CONCATENATE(J739,"2")</f>
        <v>42</v>
      </c>
      <c r="M741" s="1">
        <v>3.3445919820766956E-8</v>
      </c>
      <c r="N741" s="1">
        <v>6.2803858333870561E-5</v>
      </c>
      <c r="O741" s="1">
        <v>3.8940977698544016E-2</v>
      </c>
      <c r="P741" s="1">
        <v>7.97018239746824</v>
      </c>
      <c r="S741" s="1">
        <f t="shared" si="939"/>
        <v>13</v>
      </c>
      <c r="T741" s="1">
        <v>244</v>
      </c>
    </row>
    <row r="742" spans="1:20" x14ac:dyDescent="0.3">
      <c r="A742" s="1">
        <f t="shared" si="948"/>
        <v>13245</v>
      </c>
      <c r="B742" s="2">
        <f t="shared" si="1007"/>
        <v>0.10000000000002274</v>
      </c>
      <c r="C742" s="2">
        <f t="shared" si="1008"/>
        <v>0.10000000000002274</v>
      </c>
      <c r="D742" s="2">
        <f t="shared" si="1009"/>
        <v>0</v>
      </c>
      <c r="E742" s="27">
        <f t="shared" ref="E742" si="1013">IF(D700="","",MAX(E743,E744))</f>
        <v>0.29999999999995453</v>
      </c>
      <c r="F742" s="26"/>
      <c r="H742" s="26"/>
      <c r="J742" s="1" t="str">
        <f t="shared" ref="J742" si="1014">CONCATENATE(J739,"3")</f>
        <v>43</v>
      </c>
      <c r="M742" s="1">
        <v>0.99999994912414336</v>
      </c>
      <c r="N742" s="1">
        <v>3.3227145969928033E-2</v>
      </c>
      <c r="O742" s="1" t="e">
        <v>#N/A</v>
      </c>
      <c r="P742" s="1" t="e">
        <v>#N/A</v>
      </c>
      <c r="S742" s="1">
        <f t="shared" si="939"/>
        <v>13</v>
      </c>
      <c r="T742" s="1">
        <v>245</v>
      </c>
    </row>
    <row r="743" spans="1:20" x14ac:dyDescent="0.3">
      <c r="A743" s="1">
        <f t="shared" si="948"/>
        <v>13246</v>
      </c>
      <c r="B743" s="2">
        <f t="shared" si="1007"/>
        <v>0.10000000000002274</v>
      </c>
      <c r="C743" s="2">
        <f t="shared" si="1008"/>
        <v>0.10000000000002274</v>
      </c>
      <c r="D743" s="2">
        <f t="shared" si="1009"/>
        <v>0</v>
      </c>
      <c r="E743" s="28">
        <f t="shared" ref="E743" si="1015">ABS(MIN(B740:B754))</f>
        <v>0.19999999999998863</v>
      </c>
      <c r="F743" s="26"/>
      <c r="H743" s="26"/>
      <c r="J743" s="1">
        <f t="shared" ref="J743" si="1016">J739-1</f>
        <v>3</v>
      </c>
      <c r="M743" s="1" t="s">
        <v>2</v>
      </c>
      <c r="N743" s="1" t="s">
        <v>3</v>
      </c>
      <c r="O743" s="1" t="s">
        <v>4</v>
      </c>
      <c r="P743" s="1" t="s">
        <v>5</v>
      </c>
      <c r="S743" s="1">
        <f t="shared" si="939"/>
        <v>13</v>
      </c>
      <c r="T743" s="1">
        <v>246</v>
      </c>
    </row>
    <row r="744" spans="1:20" x14ac:dyDescent="0.3">
      <c r="A744" s="1">
        <f t="shared" si="948"/>
        <v>13247</v>
      </c>
      <c r="B744" s="2">
        <f t="shared" si="1007"/>
        <v>0.10000000000002274</v>
      </c>
      <c r="C744" s="2">
        <f t="shared" si="1008"/>
        <v>0</v>
      </c>
      <c r="D744" s="2">
        <f t="shared" si="1009"/>
        <v>-0.10000000000002274</v>
      </c>
      <c r="E744" s="28">
        <f t="shared" ref="E744" si="1017">ABS(MAX(B740:B754))</f>
        <v>0.29999999999995453</v>
      </c>
      <c r="F744" s="26"/>
      <c r="H744" s="26"/>
      <c r="J744" s="1" t="str">
        <f t="shared" ref="J744" si="1018">CONCATENATE(J743,"1")</f>
        <v>31</v>
      </c>
      <c r="M744" s="1">
        <f t="array" ref="M744:P746">LINEST($B714:$B718,$C714:$C718^{1,2,3},TRUE,TRUE)</f>
        <v>-2.0564396918785042E-7</v>
      </c>
      <c r="N744" s="1">
        <v>3.8781217142738462E-4</v>
      </c>
      <c r="O744" s="1">
        <v>0.75723260049438468</v>
      </c>
      <c r="P744" s="1">
        <v>50.340712012519255</v>
      </c>
      <c r="S744" s="1">
        <f t="shared" si="939"/>
        <v>13</v>
      </c>
      <c r="T744" s="1">
        <v>247</v>
      </c>
    </row>
    <row r="745" spans="1:20" x14ac:dyDescent="0.3">
      <c r="A745" s="1">
        <f t="shared" si="948"/>
        <v>13248</v>
      </c>
      <c r="B745" s="2">
        <f t="shared" si="1007"/>
        <v>0.20000000000004547</v>
      </c>
      <c r="C745" s="2">
        <f t="shared" si="1008"/>
        <v>0.10000000000002274</v>
      </c>
      <c r="D745" s="2">
        <f t="shared" si="1009"/>
        <v>-0.10000000000002274</v>
      </c>
      <c r="E745" s="29" t="s">
        <v>33</v>
      </c>
      <c r="F745" s="26"/>
      <c r="J745" s="1" t="str">
        <f t="shared" ref="J745" si="1019">CONCATENATE(J743,"2")</f>
        <v>32</v>
      </c>
      <c r="M745" s="1">
        <v>7.9024797834628295E-8</v>
      </c>
      <c r="N745" s="1">
        <v>1.4242518320713686E-4</v>
      </c>
      <c r="O745" s="1">
        <v>8.4967690848099561E-2</v>
      </c>
      <c r="P745" s="1">
        <v>16.776131042967251</v>
      </c>
      <c r="S745" s="1">
        <f t="shared" si="939"/>
        <v>13</v>
      </c>
      <c r="T745" s="1">
        <v>248</v>
      </c>
    </row>
    <row r="746" spans="1:20" x14ac:dyDescent="0.3">
      <c r="A746" s="1">
        <f t="shared" si="948"/>
        <v>13249</v>
      </c>
      <c r="B746" s="2">
        <f t="shared" si="1007"/>
        <v>0.10000000000002274</v>
      </c>
      <c r="C746" s="2">
        <f t="shared" si="1008"/>
        <v>0.10000000000002274</v>
      </c>
      <c r="D746" s="2">
        <f t="shared" si="1009"/>
        <v>0</v>
      </c>
      <c r="E746" s="27">
        <f t="shared" ref="E746" si="1020">IF(D700="","",MAX(E747,E748))</f>
        <v>0.3</v>
      </c>
      <c r="F746" s="26"/>
      <c r="J746" s="1" t="str">
        <f t="shared" ref="J746" si="1021">CONCATENATE(J743,"3")</f>
        <v>33</v>
      </c>
      <c r="M746" s="1">
        <v>0.99999994482803944</v>
      </c>
      <c r="N746" s="1">
        <v>3.6946297455947241E-2</v>
      </c>
      <c r="O746" s="1" t="e">
        <v>#N/A</v>
      </c>
      <c r="P746" s="1" t="e">
        <v>#N/A</v>
      </c>
      <c r="S746" s="1">
        <f t="shared" si="939"/>
        <v>13</v>
      </c>
      <c r="T746" s="1">
        <v>249</v>
      </c>
    </row>
    <row r="747" spans="1:20" x14ac:dyDescent="0.3">
      <c r="A747" s="1">
        <f t="shared" si="948"/>
        <v>13250</v>
      </c>
      <c r="B747" s="2">
        <f t="shared" si="1007"/>
        <v>0.20000000000004547</v>
      </c>
      <c r="C747" s="2">
        <f t="shared" si="1008"/>
        <v>0.10000000000002274</v>
      </c>
      <c r="D747" s="2">
        <f t="shared" si="1009"/>
        <v>-0.10000000000002274</v>
      </c>
      <c r="E747" s="28">
        <f t="shared" ref="E747" si="1022">ABS(MIN(D714:D728))</f>
        <v>0.3</v>
      </c>
      <c r="F747" s="26"/>
      <c r="J747" s="1">
        <f t="shared" ref="J747" si="1023">J743-1</f>
        <v>2</v>
      </c>
      <c r="N747" s="1" t="s">
        <v>3</v>
      </c>
      <c r="O747" s="1" t="s">
        <v>4</v>
      </c>
      <c r="P747" s="1" t="s">
        <v>5</v>
      </c>
      <c r="S747" s="1">
        <f t="shared" si="939"/>
        <v>13</v>
      </c>
      <c r="T747" s="1">
        <v>250</v>
      </c>
    </row>
    <row r="748" spans="1:20" x14ac:dyDescent="0.3">
      <c r="A748" s="1">
        <f t="shared" si="948"/>
        <v>13251</v>
      </c>
      <c r="B748" s="2">
        <f t="shared" si="1007"/>
        <v>0.20000000000004547</v>
      </c>
      <c r="C748" s="2">
        <f t="shared" si="1008"/>
        <v>0.10000000000002274</v>
      </c>
      <c r="D748" s="2">
        <f t="shared" si="1009"/>
        <v>-0.10000000000002274</v>
      </c>
      <c r="E748" s="28">
        <f t="shared" ref="E748" si="1024">ABS(MAX(D714:D728))</f>
        <v>0.3</v>
      </c>
      <c r="F748" s="26"/>
      <c r="J748" s="1" t="str">
        <f t="shared" ref="J748" si="1025">CONCATENATE(J747,"1")</f>
        <v>21</v>
      </c>
      <c r="N748" s="1">
        <f t="array" ref="N748:P750">LINEST($B714:$B717,$C714:$C717^{1,2},TRUE,TRUE)</f>
        <v>3.0545584341403328E-5</v>
      </c>
      <c r="O748" s="1">
        <v>0.96303549949824152</v>
      </c>
      <c r="P748" s="1">
        <v>11.036596107211755</v>
      </c>
      <c r="S748" s="1">
        <f t="shared" si="939"/>
        <v>13</v>
      </c>
      <c r="T748" s="1">
        <v>251</v>
      </c>
    </row>
    <row r="749" spans="1:20" x14ac:dyDescent="0.3">
      <c r="A749" s="1">
        <f t="shared" si="948"/>
        <v>13252</v>
      </c>
      <c r="B749" s="2">
        <f t="shared" si="1007"/>
        <v>0.20000000000004547</v>
      </c>
      <c r="C749" s="2">
        <f t="shared" si="1008"/>
        <v>0.10000000000002274</v>
      </c>
      <c r="D749" s="2">
        <f t="shared" si="1009"/>
        <v>-0.10000000000002274</v>
      </c>
      <c r="E749" s="26"/>
      <c r="F749" s="26"/>
      <c r="J749" s="1" t="str">
        <f t="shared" ref="J749" si="1026">CONCATENATE(J747,"2")</f>
        <v>22</v>
      </c>
      <c r="N749" s="1">
        <v>1.391079284274173E-5</v>
      </c>
      <c r="O749" s="1">
        <v>1.6024551038327062E-2</v>
      </c>
      <c r="P749" s="1">
        <v>4.5789725664649579</v>
      </c>
      <c r="S749" s="1">
        <f t="shared" si="939"/>
        <v>13</v>
      </c>
      <c r="T749" s="1">
        <v>252</v>
      </c>
    </row>
    <row r="750" spans="1:20" x14ac:dyDescent="0.3">
      <c r="A750" s="1">
        <f t="shared" si="948"/>
        <v>13253</v>
      </c>
      <c r="B750" s="2">
        <f t="shared" si="1007"/>
        <v>0.20000000000004547</v>
      </c>
      <c r="C750" s="2">
        <f t="shared" si="1008"/>
        <v>0.10000000000002274</v>
      </c>
      <c r="D750" s="2">
        <f t="shared" si="1009"/>
        <v>-0.10000000000002274</v>
      </c>
      <c r="E750" s="26"/>
      <c r="F750" s="26"/>
      <c r="J750" s="1" t="str">
        <f t="shared" ref="J750" si="1027">CONCATENATE(J747,"3")</f>
        <v>23</v>
      </c>
      <c r="N750" s="1">
        <v>0.99999961857413977</v>
      </c>
      <c r="O750" s="1">
        <v>6.8512251953918746E-2</v>
      </c>
      <c r="P750" s="1" t="e">
        <v>#N/A</v>
      </c>
      <c r="S750" s="1">
        <f t="shared" si="939"/>
        <v>13</v>
      </c>
      <c r="T750" s="1">
        <v>253</v>
      </c>
    </row>
    <row r="751" spans="1:20" x14ac:dyDescent="0.3">
      <c r="A751" s="1">
        <f t="shared" si="948"/>
        <v>13254</v>
      </c>
      <c r="B751" s="2">
        <f t="shared" si="1007"/>
        <v>0.20000000000004547</v>
      </c>
      <c r="C751" s="2">
        <f t="shared" si="1008"/>
        <v>0</v>
      </c>
      <c r="D751" s="2">
        <f t="shared" si="1009"/>
        <v>-0.20000000000004547</v>
      </c>
      <c r="E751" s="26"/>
      <c r="F751" s="26"/>
      <c r="J751" s="1">
        <f t="shared" ref="J751" si="1028">J747-1</f>
        <v>1</v>
      </c>
      <c r="O751" s="1" t="s">
        <v>4</v>
      </c>
      <c r="P751" s="1" t="s">
        <v>5</v>
      </c>
      <c r="S751" s="1">
        <f t="shared" si="939"/>
        <v>13</v>
      </c>
      <c r="T751" s="1">
        <v>254</v>
      </c>
    </row>
    <row r="752" spans="1:20" x14ac:dyDescent="0.3">
      <c r="A752" s="1">
        <f t="shared" si="948"/>
        <v>13255</v>
      </c>
      <c r="B752" s="2">
        <f t="shared" si="1007"/>
        <v>0.29999999999995453</v>
      </c>
      <c r="C752" s="2">
        <f t="shared" si="1008"/>
        <v>9.9999999999909051E-2</v>
      </c>
      <c r="D752" s="2">
        <f t="shared" si="1009"/>
        <v>-0.20000000000004547</v>
      </c>
      <c r="E752" s="26"/>
      <c r="F752" s="26"/>
      <c r="J752" s="1" t="str">
        <f t="shared" ref="J752" si="1029">CONCATENATE(J751,"1")</f>
        <v>11</v>
      </c>
      <c r="O752" s="1">
        <f t="array" ref="O752:P754">LINEST($B714:$B716,$C714:$C716^{1},TRUE,TRUE)</f>
        <v>0.99698000272071829</v>
      </c>
      <c r="P752" s="1">
        <v>1.6620051693646474</v>
      </c>
      <c r="S752" s="1">
        <f t="shared" si="939"/>
        <v>13</v>
      </c>
      <c r="T752" s="1">
        <v>255</v>
      </c>
    </row>
    <row r="753" spans="1:20" x14ac:dyDescent="0.3">
      <c r="A753" s="1">
        <f t="shared" si="948"/>
        <v>13256</v>
      </c>
      <c r="B753" s="2">
        <f t="shared" si="1007"/>
        <v>0</v>
      </c>
      <c r="C753" s="2">
        <f t="shared" si="1008"/>
        <v>0</v>
      </c>
      <c r="D753" s="2">
        <f t="shared" si="1009"/>
        <v>0</v>
      </c>
      <c r="E753" s="26"/>
      <c r="F753" s="26"/>
      <c r="J753" s="1" t="str">
        <f t="shared" ref="J753" si="1030">CONCATENATE(J751,"2")</f>
        <v>12</v>
      </c>
      <c r="O753" s="1">
        <v>1.7671583535253991E-3</v>
      </c>
      <c r="P753" s="1">
        <v>0.9751453500831988</v>
      </c>
      <c r="S753" s="1">
        <f t="shared" ref="S753:S816" si="1031">S752</f>
        <v>13</v>
      </c>
      <c r="T753" s="1">
        <v>256</v>
      </c>
    </row>
    <row r="754" spans="1:20" x14ac:dyDescent="0.3">
      <c r="A754" s="1">
        <f t="shared" si="948"/>
        <v>13257</v>
      </c>
      <c r="B754" s="2">
        <f t="shared" si="1007"/>
        <v>0</v>
      </c>
      <c r="C754" s="2">
        <f t="shared" si="1008"/>
        <v>0</v>
      </c>
      <c r="D754" s="2">
        <f t="shared" si="1009"/>
        <v>0</v>
      </c>
      <c r="E754" s="30"/>
      <c r="F754" s="30"/>
      <c r="J754" s="1" t="str">
        <f t="shared" ref="J754" si="1032">CONCATENATE(J751,"3")</f>
        <v>13</v>
      </c>
      <c r="O754" s="1">
        <v>0.99999685821344553</v>
      </c>
      <c r="P754" s="1">
        <v>0.12370949950035026</v>
      </c>
      <c r="S754" s="1">
        <f t="shared" si="1031"/>
        <v>13</v>
      </c>
      <c r="T754" s="1">
        <v>257</v>
      </c>
    </row>
    <row r="755" spans="1:20" s="8" customFormat="1" x14ac:dyDescent="0.3"/>
    <row r="756" spans="1:20" x14ac:dyDescent="0.3">
      <c r="A756" s="1">
        <f t="shared" ref="A756:A812" si="1033">ROUND(CONCATENATE(S756,T756),0)</f>
        <v>14201</v>
      </c>
      <c r="B756" s="57" t="s">
        <v>0</v>
      </c>
      <c r="C756" s="57"/>
      <c r="D756" s="56" t="s">
        <v>46</v>
      </c>
      <c r="E756" s="56"/>
      <c r="F756" s="56"/>
      <c r="G756" s="56"/>
      <c r="H756" s="56"/>
      <c r="L756" s="1">
        <v>1</v>
      </c>
      <c r="M756" s="1">
        <v>2</v>
      </c>
      <c r="N756" s="1">
        <v>3</v>
      </c>
      <c r="O756" s="1">
        <v>4</v>
      </c>
      <c r="P756" s="1">
        <v>5</v>
      </c>
      <c r="Q756" s="1">
        <v>6</v>
      </c>
      <c r="R756" s="1">
        <v>7</v>
      </c>
      <c r="S756" s="1">
        <f t="shared" ref="S756" si="1034">S754+1</f>
        <v>14</v>
      </c>
      <c r="T756" s="1">
        <v>201</v>
      </c>
    </row>
    <row r="757" spans="1:20" x14ac:dyDescent="0.3">
      <c r="A757" s="1">
        <f t="shared" si="1033"/>
        <v>14202</v>
      </c>
      <c r="B757" s="57"/>
      <c r="C757" s="57"/>
      <c r="D757" s="57"/>
      <c r="E757" s="57"/>
      <c r="F757" s="57"/>
      <c r="G757" s="57"/>
      <c r="H757" s="57"/>
      <c r="K757" s="2" t="s">
        <v>1</v>
      </c>
      <c r="L757" s="2"/>
      <c r="M757" s="2" t="s">
        <v>2</v>
      </c>
      <c r="N757" s="2" t="s">
        <v>3</v>
      </c>
      <c r="O757" s="2" t="s">
        <v>4</v>
      </c>
      <c r="P757" s="2" t="s">
        <v>5</v>
      </c>
      <c r="S757" s="1">
        <f t="shared" ref="S757" si="1035">S756</f>
        <v>14</v>
      </c>
      <c r="T757" s="1">
        <v>202</v>
      </c>
    </row>
    <row r="758" spans="1:20" x14ac:dyDescent="0.3">
      <c r="A758" s="1">
        <f t="shared" si="1033"/>
        <v>14203</v>
      </c>
      <c r="B758" s="64" t="s">
        <v>6</v>
      </c>
      <c r="C758" s="64"/>
      <c r="D758" s="56" t="s">
        <v>126</v>
      </c>
      <c r="E758" s="56"/>
      <c r="F758" s="56"/>
      <c r="G758" s="56"/>
      <c r="H758" s="56"/>
      <c r="K758" s="3">
        <f t="shared" ref="K758" si="1036">IF(K760&gt;=3,N760,LOOKUP(15-($B787+1),M756:R756,M760:P760))</f>
        <v>0.17511317641358584</v>
      </c>
      <c r="L758" s="2" t="str">
        <f t="shared" ref="L758" si="1037">CONCATENATE($B787,"1")</f>
        <v>111</v>
      </c>
      <c r="M758" s="2">
        <f t="shared" ref="M758" si="1038">VLOOKUP(L758,J761:P812,O756,FALSE)</f>
        <v>-2.3810866335455392E-8</v>
      </c>
      <c r="N758" s="2">
        <f t="shared" ref="N758" si="1039">VLOOKUP(L758,J761:P812,P756,FALSE)</f>
        <v>6.0724626329553966E-5</v>
      </c>
      <c r="O758" s="2">
        <f t="shared" ref="O758" si="1040">VLOOKUP(L758,J761:P812,Q756,FALSE)</f>
        <v>0.94924982114923662</v>
      </c>
      <c r="P758" s="2">
        <f t="shared" ref="P758" si="1041">VLOOKUP(L758,J761:P812,R756,FALSE)</f>
        <v>13.318285776228185</v>
      </c>
      <c r="S758" s="1">
        <f t="shared" si="1031"/>
        <v>14</v>
      </c>
      <c r="T758" s="1">
        <v>203</v>
      </c>
    </row>
    <row r="759" spans="1:20" x14ac:dyDescent="0.3">
      <c r="A759" s="1">
        <f t="shared" si="1033"/>
        <v>14204</v>
      </c>
      <c r="B759" s="57" t="s">
        <v>7</v>
      </c>
      <c r="C759" s="57"/>
      <c r="D759" s="56" t="s">
        <v>92</v>
      </c>
      <c r="E759" s="56"/>
      <c r="F759" s="56"/>
      <c r="G759" s="56"/>
      <c r="H759" s="56"/>
      <c r="K759" s="2" t="s">
        <v>8</v>
      </c>
      <c r="L759" s="2" t="str">
        <f t="shared" ref="L759" si="1042">CONCATENATE($B787,"2")</f>
        <v>112</v>
      </c>
      <c r="M759" s="2">
        <f t="shared" ref="M759" si="1043">VLOOKUP(L759,J761:P812,O756,FALSE)</f>
        <v>9.8144823571810826E-9</v>
      </c>
      <c r="N759" s="2">
        <f t="shared" ref="N759" si="1044">VLOOKUP(L759,J761:P812,P756,FALSE)</f>
        <v>2.3619762625247389E-5</v>
      </c>
      <c r="O759" s="2">
        <f t="shared" ref="O759" si="1045">VLOOKUP(L759,J761:P812,Q756,FALSE)</f>
        <v>1.8426294149865102E-2</v>
      </c>
      <c r="P759" s="2">
        <f t="shared" ref="P759" si="1046">VLOOKUP(L759,J761:P812,R756,FALSE)</f>
        <v>4.6466332906409935</v>
      </c>
      <c r="S759" s="1">
        <f t="shared" si="1031"/>
        <v>14</v>
      </c>
      <c r="T759" s="1">
        <v>204</v>
      </c>
    </row>
    <row r="760" spans="1:20" x14ac:dyDescent="0.3">
      <c r="A760" s="1">
        <f t="shared" si="1033"/>
        <v>14205</v>
      </c>
      <c r="B760" s="57" t="s">
        <v>9</v>
      </c>
      <c r="C760" s="57"/>
      <c r="D760" s="56" t="s">
        <v>91</v>
      </c>
      <c r="E760" s="56"/>
      <c r="F760" s="56"/>
      <c r="G760" s="56"/>
      <c r="H760" s="56"/>
      <c r="K760" s="3">
        <f t="shared" ref="K760" si="1047">IF(B787&gt;3,3,B787)</f>
        <v>3</v>
      </c>
      <c r="L760" s="2" t="str">
        <f t="shared" ref="L760" si="1048">CONCATENATE($B787,"3")</f>
        <v>113</v>
      </c>
      <c r="M760" s="2">
        <f t="shared" ref="M760" si="1049">VLOOKUP(L760,J761:P812,O756,FALSE)</f>
        <v>0.99999939168700924</v>
      </c>
      <c r="N760" s="2">
        <f t="shared" ref="N760" si="1050">VLOOKUP(L760,J761:P812,P756,FALSE)</f>
        <v>0.17511317641358584</v>
      </c>
      <c r="O760" s="2" t="e">
        <f t="shared" ref="O760" si="1051">VLOOKUP(L760,J761:P812,Q756,FALSE)</f>
        <v>#N/A</v>
      </c>
      <c r="P760" s="2" t="e">
        <f t="shared" ref="P760" si="1052">VLOOKUP(L760,J761:P812,R756,FALSE)</f>
        <v>#N/A</v>
      </c>
      <c r="S760" s="1">
        <f t="shared" si="1031"/>
        <v>14</v>
      </c>
      <c r="T760" s="1">
        <v>205</v>
      </c>
    </row>
    <row r="761" spans="1:20" x14ac:dyDescent="0.3">
      <c r="A761" s="1">
        <f t="shared" si="1033"/>
        <v>14206</v>
      </c>
      <c r="B761" s="57" t="s">
        <v>10</v>
      </c>
      <c r="C761" s="57"/>
      <c r="D761" s="62" t="s">
        <v>165</v>
      </c>
      <c r="E761" s="56"/>
      <c r="F761" s="56"/>
      <c r="G761" s="56"/>
      <c r="H761" s="56"/>
      <c r="J761" s="1">
        <v>13</v>
      </c>
      <c r="M761" s="1" t="s">
        <v>2</v>
      </c>
      <c r="N761" s="1" t="s">
        <v>3</v>
      </c>
      <c r="O761" s="1" t="s">
        <v>4</v>
      </c>
      <c r="P761" s="1" t="s">
        <v>5</v>
      </c>
      <c r="S761" s="1">
        <f t="shared" si="1031"/>
        <v>14</v>
      </c>
      <c r="T761" s="1">
        <v>206</v>
      </c>
    </row>
    <row r="762" spans="1:20" x14ac:dyDescent="0.3">
      <c r="A762" s="1">
        <f t="shared" si="1033"/>
        <v>14207</v>
      </c>
      <c r="B762" s="57" t="s">
        <v>11</v>
      </c>
      <c r="C762" s="57"/>
      <c r="D762" s="63">
        <v>46071</v>
      </c>
      <c r="E762" s="63"/>
      <c r="F762" s="63"/>
      <c r="G762" s="63"/>
      <c r="H762" s="63"/>
      <c r="J762" s="1" t="str">
        <f t="shared" ref="J762" si="1053">CONCATENATE(J761,"1")</f>
        <v>131</v>
      </c>
      <c r="M762" s="1" t="e">
        <f t="array" ref="M762:P764">LINEST($B772:$B786,$C772:$C786^{1,2,3},TRUE,TRUE)</f>
        <v>#VALUE!</v>
      </c>
      <c r="N762" s="1" t="e">
        <v>#VALUE!</v>
      </c>
      <c r="O762" s="1" t="e">
        <v>#VALUE!</v>
      </c>
      <c r="P762" s="1" t="e">
        <v>#VALUE!</v>
      </c>
      <c r="S762" s="1">
        <f t="shared" si="1031"/>
        <v>14</v>
      </c>
      <c r="T762" s="1">
        <v>207</v>
      </c>
    </row>
    <row r="763" spans="1:20" x14ac:dyDescent="0.3">
      <c r="A763" s="1">
        <f t="shared" si="1033"/>
        <v>14208</v>
      </c>
      <c r="B763" s="57" t="s">
        <v>12</v>
      </c>
      <c r="C763" s="57"/>
      <c r="D763" s="58">
        <v>46446</v>
      </c>
      <c r="E763" s="58"/>
      <c r="F763" s="58"/>
      <c r="G763" s="58"/>
      <c r="H763" s="58"/>
      <c r="J763" s="1" t="str">
        <f t="shared" ref="J763" si="1054">CONCATENATE(J761,"2")</f>
        <v>132</v>
      </c>
      <c r="M763" s="1" t="e">
        <v>#VALUE!</v>
      </c>
      <c r="N763" s="1" t="e">
        <v>#VALUE!</v>
      </c>
      <c r="O763" s="1" t="e">
        <v>#VALUE!</v>
      </c>
      <c r="P763" s="1" t="e">
        <v>#VALUE!</v>
      </c>
      <c r="S763" s="1">
        <f t="shared" si="1031"/>
        <v>14</v>
      </c>
      <c r="T763" s="1">
        <v>208</v>
      </c>
    </row>
    <row r="764" spans="1:20" x14ac:dyDescent="0.3">
      <c r="A764" s="1">
        <f t="shared" si="1033"/>
        <v>14209</v>
      </c>
      <c r="B764" s="57" t="s">
        <v>13</v>
      </c>
      <c r="C764" s="57"/>
      <c r="D764" s="9">
        <v>0.1</v>
      </c>
      <c r="E764" s="54" t="s">
        <v>14</v>
      </c>
      <c r="F764" s="54"/>
      <c r="G764" s="54"/>
      <c r="H764" s="9" t="s">
        <v>59</v>
      </c>
      <c r="J764" s="1" t="str">
        <f t="shared" ref="J764" si="1055">CONCATENATE(J761,"3")</f>
        <v>133</v>
      </c>
      <c r="M764" s="1" t="e">
        <v>#VALUE!</v>
      </c>
      <c r="N764" s="1" t="e">
        <v>#VALUE!</v>
      </c>
      <c r="O764" s="1" t="e">
        <v>#VALUE!</v>
      </c>
      <c r="P764" s="1" t="e">
        <v>#VALUE!</v>
      </c>
      <c r="S764" s="1">
        <f t="shared" si="1031"/>
        <v>14</v>
      </c>
      <c r="T764" s="1">
        <v>209</v>
      </c>
    </row>
    <row r="765" spans="1:20" x14ac:dyDescent="0.3">
      <c r="A765" s="1">
        <f t="shared" si="1033"/>
        <v>14210</v>
      </c>
      <c r="B765" s="57" t="s">
        <v>15</v>
      </c>
      <c r="C765" s="57"/>
      <c r="D765" s="2">
        <f>MIN(B772:B786)</f>
        <v>501.4</v>
      </c>
      <c r="E765" s="4" t="s">
        <v>16</v>
      </c>
      <c r="F765" s="2">
        <f>MAX(B772:B786)</f>
        <v>1099.3</v>
      </c>
      <c r="G765" s="5" t="str">
        <f>IF(H764="","",H764)</f>
        <v>hPa</v>
      </c>
      <c r="H765" s="23"/>
      <c r="J765" s="1">
        <f t="shared" ref="J765" si="1056">J761-1</f>
        <v>12</v>
      </c>
      <c r="M765" s="1" t="s">
        <v>2</v>
      </c>
      <c r="N765" s="1" t="s">
        <v>3</v>
      </c>
      <c r="O765" s="1" t="s">
        <v>4</v>
      </c>
      <c r="P765" s="1" t="s">
        <v>5</v>
      </c>
      <c r="S765" s="1">
        <f t="shared" si="1031"/>
        <v>14</v>
      </c>
      <c r="T765" s="1">
        <v>210</v>
      </c>
    </row>
    <row r="766" spans="1:20" x14ac:dyDescent="0.3">
      <c r="A766" s="1">
        <f t="shared" si="1033"/>
        <v>14211</v>
      </c>
      <c r="J766" s="1" t="str">
        <f t="shared" ref="J766" si="1057">CONCATENATE(J765,"1")</f>
        <v>121</v>
      </c>
      <c r="M766" s="1" t="e">
        <f t="array" ref="M766:P768">LINEST($B772:$B785,$C772:$C785^{1,2,3},TRUE,TRUE)</f>
        <v>#VALUE!</v>
      </c>
      <c r="N766" s="1" t="e">
        <v>#VALUE!</v>
      </c>
      <c r="O766" s="1" t="e">
        <v>#VALUE!</v>
      </c>
      <c r="P766" s="1" t="e">
        <v>#VALUE!</v>
      </c>
      <c r="S766" s="1">
        <f t="shared" si="1031"/>
        <v>14</v>
      </c>
      <c r="T766" s="1">
        <v>211</v>
      </c>
    </row>
    <row r="767" spans="1:20" x14ac:dyDescent="0.3">
      <c r="A767" s="1">
        <f t="shared" si="1033"/>
        <v>14212</v>
      </c>
      <c r="B767" s="59" t="s">
        <v>17</v>
      </c>
      <c r="C767" s="59"/>
      <c r="D767" s="59"/>
      <c r="E767" s="59"/>
      <c r="F767" s="59"/>
      <c r="G767" s="60" t="s">
        <v>29</v>
      </c>
      <c r="H767" s="61"/>
      <c r="J767" s="1" t="str">
        <f t="shared" ref="J767" si="1058">CONCATENATE(J765,"2")</f>
        <v>122</v>
      </c>
      <c r="M767" s="1" t="e">
        <v>#VALUE!</v>
      </c>
      <c r="N767" s="1" t="e">
        <v>#VALUE!</v>
      </c>
      <c r="O767" s="1" t="e">
        <v>#VALUE!</v>
      </c>
      <c r="P767" s="1" t="e">
        <v>#VALUE!</v>
      </c>
      <c r="S767" s="1">
        <f t="shared" si="1031"/>
        <v>14</v>
      </c>
      <c r="T767" s="1">
        <v>212</v>
      </c>
    </row>
    <row r="768" spans="1:20" x14ac:dyDescent="0.3">
      <c r="A768" s="1">
        <f t="shared" si="1033"/>
        <v>14213</v>
      </c>
      <c r="B768" s="54" t="s">
        <v>18</v>
      </c>
      <c r="C768" s="54"/>
      <c r="D768" s="54"/>
      <c r="E768" s="54" t="str">
        <f>IF(D761="","",D761)</f>
        <v>E0091/26</v>
      </c>
      <c r="F768" s="54"/>
      <c r="G768" s="5" t="s">
        <v>18</v>
      </c>
      <c r="H768" s="20" t="s">
        <v>127</v>
      </c>
      <c r="J768" s="1" t="str">
        <f t="shared" ref="J768" si="1059">CONCATENATE(J765,"3")</f>
        <v>123</v>
      </c>
      <c r="M768" s="1" t="e">
        <v>#VALUE!</v>
      </c>
      <c r="N768" s="1" t="e">
        <v>#VALUE!</v>
      </c>
      <c r="O768" s="1" t="e">
        <v>#VALUE!</v>
      </c>
      <c r="P768" s="1" t="e">
        <v>#VALUE!</v>
      </c>
      <c r="S768" s="1">
        <f t="shared" si="1031"/>
        <v>14</v>
      </c>
      <c r="T768" s="1">
        <v>213</v>
      </c>
    </row>
    <row r="769" spans="1:20" ht="15" customHeight="1" x14ac:dyDescent="0.3">
      <c r="A769" s="1">
        <f t="shared" si="1033"/>
        <v>14214</v>
      </c>
      <c r="B769" s="6" t="s">
        <v>19</v>
      </c>
      <c r="C769" s="6" t="s">
        <v>20</v>
      </c>
      <c r="D769" s="6" t="s">
        <v>21</v>
      </c>
      <c r="E769" s="6"/>
      <c r="F769" s="55" t="s">
        <v>31</v>
      </c>
      <c r="G769" s="6" t="s">
        <v>19</v>
      </c>
      <c r="H769" s="6" t="s">
        <v>20</v>
      </c>
      <c r="J769" s="1">
        <f t="shared" ref="J769" si="1060">J765-1</f>
        <v>11</v>
      </c>
      <c r="M769" s="1" t="s">
        <v>2</v>
      </c>
      <c r="N769" s="1" t="s">
        <v>3</v>
      </c>
      <c r="O769" s="1" t="s">
        <v>4</v>
      </c>
      <c r="P769" s="1" t="s">
        <v>5</v>
      </c>
      <c r="S769" s="1">
        <f t="shared" si="1031"/>
        <v>14</v>
      </c>
      <c r="T769" s="1">
        <v>214</v>
      </c>
    </row>
    <row r="770" spans="1:20" x14ac:dyDescent="0.3">
      <c r="A770" s="1">
        <f t="shared" si="1033"/>
        <v>14215</v>
      </c>
      <c r="B770" s="6" t="s">
        <v>22</v>
      </c>
      <c r="C770" s="6" t="s">
        <v>23</v>
      </c>
      <c r="D770" s="6" t="s">
        <v>24</v>
      </c>
      <c r="E770" s="6" t="s">
        <v>30</v>
      </c>
      <c r="F770" s="55"/>
      <c r="G770" s="6" t="s">
        <v>22</v>
      </c>
      <c r="H770" s="6" t="s">
        <v>23</v>
      </c>
      <c r="J770" s="1" t="str">
        <f t="shared" ref="J770" si="1061">CONCATENATE(J769,"1")</f>
        <v>111</v>
      </c>
      <c r="M770" s="1">
        <f t="array" ref="M770:P772">LINEST($B772:$B784,$C772:$C784^{1,2,3},TRUE,TRUE)</f>
        <v>-2.3810866335455392E-8</v>
      </c>
      <c r="N770" s="1">
        <v>6.0724626329553966E-5</v>
      </c>
      <c r="O770" s="1">
        <v>0.94924982114923662</v>
      </c>
      <c r="P770" s="1">
        <v>13.318285776228185</v>
      </c>
      <c r="S770" s="1">
        <f t="shared" si="1031"/>
        <v>14</v>
      </c>
      <c r="T770" s="1">
        <v>215</v>
      </c>
    </row>
    <row r="771" spans="1:20" x14ac:dyDescent="0.3">
      <c r="A771" s="1">
        <f t="shared" si="1033"/>
        <v>14216</v>
      </c>
      <c r="B771" s="7" t="str">
        <f>IF(H764="","",H764)</f>
        <v>hPa</v>
      </c>
      <c r="C771" s="7" t="str">
        <f>IF(H764="","",H764)</f>
        <v>hPa</v>
      </c>
      <c r="D771" s="7" t="str">
        <f>IF(H764="","",H764)</f>
        <v>hPa</v>
      </c>
      <c r="E771" s="7"/>
      <c r="F771" s="7" t="str">
        <f>IF(I764="","",I764)</f>
        <v/>
      </c>
      <c r="G771" s="7" t="str">
        <f>IF(H764="","",H764)</f>
        <v>hPa</v>
      </c>
      <c r="H771" s="7" t="str">
        <f>IF(H764="","",H764)</f>
        <v>hPa</v>
      </c>
      <c r="J771" s="1" t="str">
        <f t="shared" ref="J771" si="1062">CONCATENATE(J769,"2")</f>
        <v>112</v>
      </c>
      <c r="M771" s="1">
        <v>9.8144823571810826E-9</v>
      </c>
      <c r="N771" s="1">
        <v>2.3619762625247389E-5</v>
      </c>
      <c r="O771" s="1">
        <v>1.8426294149865102E-2</v>
      </c>
      <c r="P771" s="1">
        <v>4.6466332906409935</v>
      </c>
      <c r="S771" s="1">
        <f t="shared" si="1031"/>
        <v>14</v>
      </c>
      <c r="T771" s="1">
        <v>216</v>
      </c>
    </row>
    <row r="772" spans="1:20" x14ac:dyDescent="0.3">
      <c r="A772" s="1">
        <f t="shared" si="1033"/>
        <v>14217</v>
      </c>
      <c r="B772" s="24">
        <v>501.4</v>
      </c>
      <c r="C772" s="24">
        <v>501</v>
      </c>
      <c r="D772" s="21">
        <v>0.3</v>
      </c>
      <c r="E772" s="24">
        <v>2</v>
      </c>
      <c r="F772" s="24">
        <v>1000000</v>
      </c>
      <c r="G772" s="25">
        <v>500.9</v>
      </c>
      <c r="H772" s="25">
        <v>501</v>
      </c>
      <c r="J772" s="1" t="str">
        <f t="shared" ref="J772" si="1063">CONCATENATE(J769,"3")</f>
        <v>113</v>
      </c>
      <c r="M772" s="1">
        <v>0.99999939168700924</v>
      </c>
      <c r="N772" s="1">
        <v>0.17511317641358584</v>
      </c>
      <c r="O772" s="1" t="e">
        <v>#N/A</v>
      </c>
      <c r="P772" s="1" t="e">
        <v>#N/A</v>
      </c>
      <c r="S772" s="1">
        <f t="shared" si="1031"/>
        <v>14</v>
      </c>
      <c r="T772" s="1">
        <v>217</v>
      </c>
    </row>
    <row r="773" spans="1:20" x14ac:dyDescent="0.3">
      <c r="A773" s="1">
        <f t="shared" si="1033"/>
        <v>14218</v>
      </c>
      <c r="B773" s="24">
        <v>549.5</v>
      </c>
      <c r="C773" s="24">
        <v>550</v>
      </c>
      <c r="D773" s="21">
        <v>0.3</v>
      </c>
      <c r="E773" s="24">
        <v>2</v>
      </c>
      <c r="F773" s="24">
        <v>1000000</v>
      </c>
      <c r="G773" s="25">
        <v>549.9</v>
      </c>
      <c r="H773" s="25">
        <v>550</v>
      </c>
      <c r="J773" s="1">
        <f t="shared" ref="J773" si="1064">J769-1</f>
        <v>10</v>
      </c>
      <c r="M773" s="1" t="s">
        <v>2</v>
      </c>
      <c r="N773" s="1" t="s">
        <v>3</v>
      </c>
      <c r="O773" s="1" t="s">
        <v>4</v>
      </c>
      <c r="P773" s="1" t="s">
        <v>5</v>
      </c>
      <c r="S773" s="1">
        <f t="shared" si="1031"/>
        <v>14</v>
      </c>
      <c r="T773" s="1">
        <v>218</v>
      </c>
    </row>
    <row r="774" spans="1:20" x14ac:dyDescent="0.3">
      <c r="A774" s="1">
        <f t="shared" si="1033"/>
        <v>14219</v>
      </c>
      <c r="B774" s="24">
        <v>599.4</v>
      </c>
      <c r="C774" s="24">
        <v>600</v>
      </c>
      <c r="D774" s="21">
        <v>0.3</v>
      </c>
      <c r="E774" s="24">
        <v>2</v>
      </c>
      <c r="F774" s="24">
        <v>1000000</v>
      </c>
      <c r="G774" s="25">
        <v>599.9</v>
      </c>
      <c r="H774" s="25">
        <v>600</v>
      </c>
      <c r="J774" s="1" t="str">
        <f t="shared" ref="J774" si="1065">CONCATENATE(J773,"1")</f>
        <v>101</v>
      </c>
      <c r="M774" s="1">
        <f t="array" ref="M774:P776">LINEST($B772:$B783,$C772:$C783^{1,2,3},TRUE,TRUE)</f>
        <v>-2.5937031273615815E-8</v>
      </c>
      <c r="N774" s="1">
        <v>6.5466556796434655E-5</v>
      </c>
      <c r="O774" s="1">
        <v>0.94582328841716223</v>
      </c>
      <c r="P774" s="1">
        <v>14.119581802610307</v>
      </c>
      <c r="S774" s="1">
        <f t="shared" si="1031"/>
        <v>14</v>
      </c>
      <c r="T774" s="1">
        <v>219</v>
      </c>
    </row>
    <row r="775" spans="1:20" x14ac:dyDescent="0.3">
      <c r="A775" s="1">
        <f t="shared" si="1033"/>
        <v>14220</v>
      </c>
      <c r="B775" s="24">
        <v>649.5</v>
      </c>
      <c r="C775" s="24">
        <v>650</v>
      </c>
      <c r="D775" s="21">
        <v>0.3</v>
      </c>
      <c r="E775" s="24">
        <v>2</v>
      </c>
      <c r="F775" s="24">
        <v>1000000</v>
      </c>
      <c r="G775" s="25">
        <v>649.9</v>
      </c>
      <c r="H775" s="25">
        <v>650</v>
      </c>
      <c r="J775" s="1" t="str">
        <f t="shared" ref="J775" si="1066">CONCATENATE(J773,"2")</f>
        <v>102</v>
      </c>
      <c r="M775" s="1">
        <v>1.3841905236559043E-8</v>
      </c>
      <c r="N775" s="1">
        <v>3.2265343290451245E-5</v>
      </c>
      <c r="O775" s="1">
        <v>2.4443348950748654E-2</v>
      </c>
      <c r="P775" s="1">
        <v>6.0043841004861882</v>
      </c>
      <c r="S775" s="1">
        <f t="shared" si="1031"/>
        <v>14</v>
      </c>
      <c r="T775" s="1">
        <v>220</v>
      </c>
    </row>
    <row r="776" spans="1:20" x14ac:dyDescent="0.3">
      <c r="A776" s="1">
        <f t="shared" si="1033"/>
        <v>14221</v>
      </c>
      <c r="B776" s="24">
        <v>699.5</v>
      </c>
      <c r="C776" s="24">
        <v>700</v>
      </c>
      <c r="D776" s="21">
        <v>0.3</v>
      </c>
      <c r="E776" s="24">
        <v>2</v>
      </c>
      <c r="F776" s="24">
        <v>1000000</v>
      </c>
      <c r="G776" s="25">
        <v>700</v>
      </c>
      <c r="H776" s="25">
        <v>700</v>
      </c>
      <c r="J776" s="1" t="str">
        <f t="shared" ref="J776" si="1067">CONCATENATE(J773,"3")</f>
        <v>103</v>
      </c>
      <c r="M776" s="1">
        <v>0.99999923076049213</v>
      </c>
      <c r="N776" s="1">
        <v>0.18511367222761643</v>
      </c>
      <c r="O776" s="1" t="e">
        <v>#N/A</v>
      </c>
      <c r="P776" s="1" t="e">
        <v>#N/A</v>
      </c>
      <c r="S776" s="1">
        <f t="shared" si="1031"/>
        <v>14</v>
      </c>
      <c r="T776" s="1">
        <v>221</v>
      </c>
    </row>
    <row r="777" spans="1:20" x14ac:dyDescent="0.3">
      <c r="A777" s="1">
        <f t="shared" si="1033"/>
        <v>14222</v>
      </c>
      <c r="B777" s="24">
        <v>749.5</v>
      </c>
      <c r="C777" s="24">
        <v>750</v>
      </c>
      <c r="D777" s="21">
        <v>0.3</v>
      </c>
      <c r="E777" s="24">
        <v>2</v>
      </c>
      <c r="F777" s="24">
        <v>1000000</v>
      </c>
      <c r="G777" s="25">
        <v>750</v>
      </c>
      <c r="H777" s="25">
        <v>750</v>
      </c>
      <c r="J777" s="1">
        <f t="shared" ref="J777" si="1068">J773-1</f>
        <v>9</v>
      </c>
      <c r="M777" s="1" t="s">
        <v>2</v>
      </c>
      <c r="N777" s="1" t="s">
        <v>3</v>
      </c>
      <c r="O777" s="1" t="s">
        <v>4</v>
      </c>
      <c r="P777" s="1" t="s">
        <v>5</v>
      </c>
      <c r="S777" s="1">
        <f t="shared" si="1031"/>
        <v>14</v>
      </c>
      <c r="T777" s="1">
        <v>222</v>
      </c>
    </row>
    <row r="778" spans="1:20" x14ac:dyDescent="0.3">
      <c r="A778" s="1">
        <f t="shared" si="1033"/>
        <v>14223</v>
      </c>
      <c r="B778" s="24">
        <v>799.5</v>
      </c>
      <c r="C778" s="24">
        <v>800</v>
      </c>
      <c r="D778" s="21">
        <v>0.3</v>
      </c>
      <c r="E778" s="24">
        <v>2</v>
      </c>
      <c r="F778" s="24">
        <v>1000000</v>
      </c>
      <c r="G778" s="25">
        <v>799.9</v>
      </c>
      <c r="H778" s="25">
        <v>800</v>
      </c>
      <c r="J778" s="1" t="str">
        <f t="shared" ref="J778" si="1069">CONCATENATE(J777,"1")</f>
        <v>91</v>
      </c>
      <c r="M778" s="1">
        <f t="array" ref="M778:P780">LINEST($B772:$B782,$C772:$C782^{1,2,3},TRUE,TRUE)</f>
        <v>-4.226454442659638E-8</v>
      </c>
      <c r="N778" s="1">
        <v>1.0083250593443077E-4</v>
      </c>
      <c r="O778" s="1">
        <v>0.92092701503249219</v>
      </c>
      <c r="P778" s="1">
        <v>19.810640565294413</v>
      </c>
      <c r="S778" s="1">
        <f t="shared" si="1031"/>
        <v>14</v>
      </c>
      <c r="T778" s="1">
        <v>223</v>
      </c>
    </row>
    <row r="779" spans="1:20" x14ac:dyDescent="0.3">
      <c r="A779" s="1">
        <f t="shared" si="1033"/>
        <v>14224</v>
      </c>
      <c r="B779" s="24">
        <v>849.4</v>
      </c>
      <c r="C779" s="24">
        <v>850</v>
      </c>
      <c r="D779" s="21">
        <v>0.3</v>
      </c>
      <c r="E779" s="24">
        <v>2</v>
      </c>
      <c r="F779" s="24">
        <v>1000000</v>
      </c>
      <c r="G779" s="25">
        <v>849.9</v>
      </c>
      <c r="H779" s="25">
        <v>850</v>
      </c>
      <c r="J779" s="1" t="str">
        <f t="shared" ref="J779" si="1070">CONCATENATE(J777,"2")</f>
        <v>92</v>
      </c>
      <c r="M779" s="1">
        <v>1.8157513966197731E-8</v>
      </c>
      <c r="N779" s="1">
        <v>4.0952173291069872E-5</v>
      </c>
      <c r="O779" s="1">
        <v>3.0097332663869335E-2</v>
      </c>
      <c r="P779" s="1">
        <v>7.1945993956287504</v>
      </c>
      <c r="S779" s="1">
        <f t="shared" si="1031"/>
        <v>14</v>
      </c>
      <c r="T779" s="1">
        <v>224</v>
      </c>
    </row>
    <row r="780" spans="1:20" x14ac:dyDescent="0.3">
      <c r="A780" s="1">
        <f t="shared" si="1033"/>
        <v>14225</v>
      </c>
      <c r="B780" s="24">
        <v>899.4</v>
      </c>
      <c r="C780" s="24">
        <v>900</v>
      </c>
      <c r="D780" s="21">
        <v>0.3</v>
      </c>
      <c r="E780" s="24">
        <v>2</v>
      </c>
      <c r="F780" s="24">
        <v>1000000</v>
      </c>
      <c r="G780" s="25">
        <v>899.9</v>
      </c>
      <c r="H780" s="25">
        <v>900</v>
      </c>
      <c r="J780" s="1" t="str">
        <f t="shared" ref="J780" si="1071">CONCATENATE(J777,"3")</f>
        <v>93</v>
      </c>
      <c r="M780" s="1">
        <v>0.99999919758401312</v>
      </c>
      <c r="N780" s="1">
        <v>0.1772071545163785</v>
      </c>
      <c r="O780" s="1" t="e">
        <v>#N/A</v>
      </c>
      <c r="P780" s="1" t="e">
        <v>#N/A</v>
      </c>
      <c r="S780" s="1">
        <f t="shared" si="1031"/>
        <v>14</v>
      </c>
      <c r="T780" s="1">
        <v>225</v>
      </c>
    </row>
    <row r="781" spans="1:20" x14ac:dyDescent="0.3">
      <c r="A781" s="1">
        <f t="shared" si="1033"/>
        <v>14226</v>
      </c>
      <c r="B781" s="24">
        <v>949.4</v>
      </c>
      <c r="C781" s="24">
        <v>950</v>
      </c>
      <c r="D781" s="21">
        <v>0.3</v>
      </c>
      <c r="E781" s="24">
        <v>2</v>
      </c>
      <c r="F781" s="24">
        <v>1000000</v>
      </c>
      <c r="G781" s="25">
        <v>949.9</v>
      </c>
      <c r="H781" s="25">
        <v>950</v>
      </c>
      <c r="J781" s="1">
        <f t="shared" ref="J781" si="1072">J777-1</f>
        <v>8</v>
      </c>
      <c r="M781" s="1" t="s">
        <v>2</v>
      </c>
      <c r="N781" s="1" t="s">
        <v>3</v>
      </c>
      <c r="O781" s="1" t="s">
        <v>4</v>
      </c>
      <c r="P781" s="1" t="s">
        <v>5</v>
      </c>
      <c r="S781" s="1">
        <f t="shared" si="1031"/>
        <v>14</v>
      </c>
      <c r="T781" s="1">
        <v>226</v>
      </c>
    </row>
    <row r="782" spans="1:20" x14ac:dyDescent="0.3">
      <c r="A782" s="1">
        <f t="shared" si="1033"/>
        <v>14227</v>
      </c>
      <c r="B782" s="24">
        <v>999.4</v>
      </c>
      <c r="C782" s="24">
        <v>1000</v>
      </c>
      <c r="D782" s="21">
        <v>0.3</v>
      </c>
      <c r="E782" s="24">
        <v>2</v>
      </c>
      <c r="F782" s="24">
        <v>1000000</v>
      </c>
      <c r="G782" s="25">
        <v>999.9</v>
      </c>
      <c r="H782" s="25">
        <v>1000</v>
      </c>
      <c r="J782" s="1" t="str">
        <f t="shared" ref="J782" si="1073">CONCATENATE(J781,"1")</f>
        <v>81</v>
      </c>
      <c r="M782" s="1">
        <f t="array" ref="M782:P784">LINEST($B772:$B781,$C772:$C781^{1,2,3},TRUE,TRUE)</f>
        <v>-6.3449840791496244E-8</v>
      </c>
      <c r="N782" s="1">
        <v>1.4535953456197622E-4</v>
      </c>
      <c r="O782" s="1">
        <v>0.8904172435798402</v>
      </c>
      <c r="P782" s="1">
        <v>26.621695260376971</v>
      </c>
      <c r="S782" s="1">
        <f t="shared" si="1031"/>
        <v>14</v>
      </c>
      <c r="T782" s="1">
        <v>227</v>
      </c>
    </row>
    <row r="783" spans="1:20" x14ac:dyDescent="0.3">
      <c r="A783" s="1">
        <f t="shared" si="1033"/>
        <v>14228</v>
      </c>
      <c r="B783" s="24">
        <v>1049.5</v>
      </c>
      <c r="C783" s="24">
        <v>1050</v>
      </c>
      <c r="D783" s="21">
        <v>0.3</v>
      </c>
      <c r="E783" s="24">
        <v>2</v>
      </c>
      <c r="F783" s="24">
        <v>1000000</v>
      </c>
      <c r="G783" s="25">
        <v>1050</v>
      </c>
      <c r="H783" s="25">
        <v>1050</v>
      </c>
      <c r="J783" s="1" t="str">
        <f t="shared" ref="J783" si="1074">CONCATENATE(J781,"2")</f>
        <v>82</v>
      </c>
      <c r="M783" s="1">
        <v>2.4925233470842595E-8</v>
      </c>
      <c r="N783" s="1">
        <v>5.4332220002169356E-5</v>
      </c>
      <c r="O783" s="1">
        <v>3.8695876473945241E-2</v>
      </c>
      <c r="P783" s="1">
        <v>8.9915797595125309</v>
      </c>
      <c r="S783" s="1">
        <f t="shared" si="1031"/>
        <v>14</v>
      </c>
      <c r="T783" s="1">
        <v>228</v>
      </c>
    </row>
    <row r="784" spans="1:20" x14ac:dyDescent="0.3">
      <c r="A784" s="1">
        <f t="shared" si="1033"/>
        <v>14229</v>
      </c>
      <c r="B784" s="24">
        <v>1099.3</v>
      </c>
      <c r="C784" s="24">
        <v>1100</v>
      </c>
      <c r="D784" s="21">
        <v>0.3</v>
      </c>
      <c r="E784" s="24">
        <v>2</v>
      </c>
      <c r="F784" s="24">
        <v>1000000</v>
      </c>
      <c r="G784" s="25">
        <v>1099.9000000000001</v>
      </c>
      <c r="H784" s="25">
        <v>1100</v>
      </c>
      <c r="J784" s="1" t="str">
        <f t="shared" ref="J784" si="1075">CONCATENATE(J781,"3")</f>
        <v>83</v>
      </c>
      <c r="M784" s="1">
        <v>0.99999913687595909</v>
      </c>
      <c r="N784" s="1">
        <v>0.17186005384797318</v>
      </c>
      <c r="O784" s="1" t="e">
        <v>#N/A</v>
      </c>
      <c r="P784" s="1" t="e">
        <v>#N/A</v>
      </c>
      <c r="S784" s="1">
        <f t="shared" si="1031"/>
        <v>14</v>
      </c>
      <c r="T784" s="1">
        <v>229</v>
      </c>
    </row>
    <row r="785" spans="1:20" x14ac:dyDescent="0.3">
      <c r="A785" s="1">
        <f t="shared" si="1033"/>
        <v>14230</v>
      </c>
      <c r="B785" s="24"/>
      <c r="C785" s="24"/>
      <c r="D785" s="24"/>
      <c r="E785" s="24"/>
      <c r="F785" s="24"/>
      <c r="G785" s="25"/>
      <c r="H785" s="25"/>
      <c r="J785" s="1">
        <f t="shared" ref="J785" si="1076">J781-1</f>
        <v>7</v>
      </c>
      <c r="M785" s="1" t="s">
        <v>2</v>
      </c>
      <c r="N785" s="1" t="s">
        <v>3</v>
      </c>
      <c r="O785" s="1" t="s">
        <v>4</v>
      </c>
      <c r="P785" s="1" t="s">
        <v>5</v>
      </c>
      <c r="S785" s="1">
        <f t="shared" si="1031"/>
        <v>14</v>
      </c>
      <c r="T785" s="1">
        <v>230</v>
      </c>
    </row>
    <row r="786" spans="1:20" x14ac:dyDescent="0.3">
      <c r="A786" s="1">
        <f t="shared" si="1033"/>
        <v>14231</v>
      </c>
      <c r="B786" s="24"/>
      <c r="C786" s="24"/>
      <c r="D786" s="24"/>
      <c r="E786" s="24"/>
      <c r="F786" s="24"/>
      <c r="G786" s="25"/>
      <c r="H786" s="25"/>
      <c r="J786" s="1" t="str">
        <f t="shared" ref="J786" si="1077">CONCATENATE(J785,"1")</f>
        <v>71</v>
      </c>
      <c r="M786" s="1">
        <f t="array" ref="M786:P788">LINEST($B772:$B780,$C772:$C780^{1,2,3},TRUE,TRUE)</f>
        <v>-9.9133715737056285E-8</v>
      </c>
      <c r="N786" s="1">
        <v>2.1806670339739832E-4</v>
      </c>
      <c r="O786" s="1">
        <v>0.84197283456979088</v>
      </c>
      <c r="P786" s="1">
        <v>37.172679681942888</v>
      </c>
      <c r="S786" s="1">
        <f t="shared" si="1031"/>
        <v>14</v>
      </c>
      <c r="T786" s="1">
        <v>231</v>
      </c>
    </row>
    <row r="787" spans="1:20" x14ac:dyDescent="0.3">
      <c r="A787" s="1">
        <f t="shared" si="1033"/>
        <v>14232</v>
      </c>
      <c r="B787" s="2">
        <f t="shared" ref="B787" si="1078">COUNT(B772:B786)-2</f>
        <v>11</v>
      </c>
      <c r="J787" s="1" t="str">
        <f t="shared" ref="J787" si="1079">CONCATENATE(J785,"2")</f>
        <v>72</v>
      </c>
      <c r="M787" s="1">
        <v>3.3859441173065398E-8</v>
      </c>
      <c r="N787" s="1">
        <v>7.1249111491820572E-5</v>
      </c>
      <c r="O787" s="1">
        <v>4.9117049070599661E-2</v>
      </c>
      <c r="P787" s="1">
        <v>11.080770926769734</v>
      </c>
      <c r="S787" s="1">
        <f t="shared" si="1031"/>
        <v>14</v>
      </c>
      <c r="T787" s="1">
        <v>232</v>
      </c>
    </row>
    <row r="788" spans="1:20" x14ac:dyDescent="0.3">
      <c r="A788" s="1">
        <f t="shared" si="1033"/>
        <v>14233</v>
      </c>
      <c r="J788" s="1" t="str">
        <f t="shared" ref="J788" si="1080">CONCATENATE(J785,"3")</f>
        <v>73</v>
      </c>
      <c r="M788" s="1">
        <v>0.99999915865548694</v>
      </c>
      <c r="N788" s="1">
        <v>0.15844431898486183</v>
      </c>
      <c r="O788" s="1" t="e">
        <v>#N/A</v>
      </c>
      <c r="P788" s="1" t="e">
        <v>#N/A</v>
      </c>
      <c r="S788" s="1">
        <f t="shared" si="1031"/>
        <v>14</v>
      </c>
      <c r="T788" s="1">
        <v>233</v>
      </c>
    </row>
    <row r="789" spans="1:20" x14ac:dyDescent="0.3">
      <c r="A789" s="1">
        <f t="shared" si="1033"/>
        <v>14234</v>
      </c>
      <c r="B789" s="54" t="s">
        <v>25</v>
      </c>
      <c r="C789" s="54"/>
      <c r="D789" s="54"/>
      <c r="E789" s="54"/>
      <c r="F789" s="54"/>
      <c r="G789" s="54"/>
      <c r="H789" s="54"/>
      <c r="J789" s="1">
        <f t="shared" ref="J789" si="1081">J785-1</f>
        <v>6</v>
      </c>
      <c r="M789" s="1" t="s">
        <v>2</v>
      </c>
      <c r="N789" s="1" t="s">
        <v>3</v>
      </c>
      <c r="O789" s="1" t="s">
        <v>4</v>
      </c>
      <c r="P789" s="1" t="s">
        <v>5</v>
      </c>
      <c r="S789" s="1">
        <f t="shared" si="1031"/>
        <v>14</v>
      </c>
      <c r="T789" s="1">
        <v>234</v>
      </c>
    </row>
    <row r="790" spans="1:20" x14ac:dyDescent="0.3">
      <c r="A790" s="1">
        <f t="shared" si="1033"/>
        <v>14235</v>
      </c>
      <c r="B790" s="56"/>
      <c r="C790" s="56"/>
      <c r="D790" s="56"/>
      <c r="E790" s="56"/>
      <c r="F790" s="56"/>
      <c r="G790" s="56"/>
      <c r="H790" s="56"/>
      <c r="J790" s="1" t="str">
        <f t="shared" ref="J790" si="1082">CONCATENATE(J789,"1")</f>
        <v>61</v>
      </c>
      <c r="M790" s="1">
        <f t="array" ref="M790:P792">LINEST($B772:$B779,$C772:$C779^{1,2,3},TRUE,TRUE)</f>
        <v>-1.5737259864661636E-7</v>
      </c>
      <c r="N790" s="1">
        <v>3.3298755678532789E-4</v>
      </c>
      <c r="O790" s="1">
        <v>0.76759137477187078</v>
      </c>
      <c r="P790" s="1">
        <v>52.959693526933087</v>
      </c>
      <c r="S790" s="1">
        <f t="shared" si="1031"/>
        <v>14</v>
      </c>
      <c r="T790" s="1">
        <v>235</v>
      </c>
    </row>
    <row r="791" spans="1:20" x14ac:dyDescent="0.3">
      <c r="A791" s="1">
        <f t="shared" si="1033"/>
        <v>14236</v>
      </c>
      <c r="B791" s="56"/>
      <c r="C791" s="56"/>
      <c r="D791" s="56"/>
      <c r="E791" s="56"/>
      <c r="F791" s="56"/>
      <c r="G791" s="56"/>
      <c r="H791" s="56"/>
      <c r="J791" s="1" t="str">
        <f t="shared" ref="J791" si="1083">CONCATENATE(J789,"2")</f>
        <v>62</v>
      </c>
      <c r="M791" s="1">
        <v>4.4682979150402486E-8</v>
      </c>
      <c r="N791" s="1">
        <v>9.0650319488722175E-5</v>
      </c>
      <c r="O791" s="1">
        <v>6.0410270035344674E-2</v>
      </c>
      <c r="P791" s="1">
        <v>13.213939313558567</v>
      </c>
      <c r="S791" s="1">
        <f t="shared" si="1031"/>
        <v>14</v>
      </c>
      <c r="T791" s="1">
        <v>236</v>
      </c>
    </row>
    <row r="792" spans="1:20" x14ac:dyDescent="0.3">
      <c r="A792" s="1">
        <f t="shared" si="1033"/>
        <v>14237</v>
      </c>
      <c r="J792" s="1" t="str">
        <f t="shared" ref="J792" si="1084">CONCATENATE(J789,"3")</f>
        <v>63</v>
      </c>
      <c r="M792" s="1">
        <v>0.99999930318202135</v>
      </c>
      <c r="N792" s="1">
        <v>0.13480619900312327</v>
      </c>
      <c r="O792" s="1" t="e">
        <v>#N/A</v>
      </c>
      <c r="P792" s="1" t="e">
        <v>#N/A</v>
      </c>
      <c r="S792" s="1">
        <f t="shared" si="1031"/>
        <v>14</v>
      </c>
      <c r="T792" s="1">
        <v>237</v>
      </c>
    </row>
    <row r="793" spans="1:20" ht="15" customHeight="1" x14ac:dyDescent="0.3">
      <c r="A793" s="1">
        <f t="shared" si="1033"/>
        <v>14238</v>
      </c>
      <c r="J793" s="1">
        <f t="shared" ref="J793" si="1085">J789-1</f>
        <v>5</v>
      </c>
      <c r="M793" s="1" t="s">
        <v>2</v>
      </c>
      <c r="N793" s="1" t="s">
        <v>3</v>
      </c>
      <c r="O793" s="1" t="s">
        <v>4</v>
      </c>
      <c r="P793" s="1" t="s">
        <v>5</v>
      </c>
      <c r="S793" s="1">
        <f t="shared" si="1031"/>
        <v>14</v>
      </c>
      <c r="T793" s="1">
        <v>238</v>
      </c>
    </row>
    <row r="794" spans="1:20" x14ac:dyDescent="0.3">
      <c r="A794" s="1">
        <f t="shared" si="1033"/>
        <v>14239</v>
      </c>
      <c r="J794" s="1" t="str">
        <f t="shared" ref="J794" si="1086">CONCATENATE(J793,"1")</f>
        <v>51</v>
      </c>
      <c r="M794" s="1">
        <f t="array" ref="M794:P796">LINEST($B772:$B778,$C772:$C778^{1,2,3},TRUE,TRUE)</f>
        <v>-2.258372406309782E-7</v>
      </c>
      <c r="N794" s="1">
        <v>4.6368464497720474E-4</v>
      </c>
      <c r="O794" s="1">
        <v>0.68551151283923795</v>
      </c>
      <c r="P794" s="1">
        <v>69.915437112399317</v>
      </c>
      <c r="S794" s="1">
        <f t="shared" si="1031"/>
        <v>14</v>
      </c>
      <c r="T794" s="1">
        <v>239</v>
      </c>
    </row>
    <row r="795" spans="1:20" x14ac:dyDescent="0.3">
      <c r="A795" s="1">
        <f t="shared" si="1033"/>
        <v>14240</v>
      </c>
      <c r="E795" s="26"/>
      <c r="F795" s="26"/>
      <c r="G795" s="26"/>
      <c r="H795" s="26"/>
      <c r="J795" s="1" t="str">
        <f t="shared" ref="J795" si="1087">CONCATENATE(J793,"2")</f>
        <v>52</v>
      </c>
      <c r="M795" s="1">
        <v>6.9929269261195394E-8</v>
      </c>
      <c r="N795" s="1">
        <v>1.3658944952157746E-4</v>
      </c>
      <c r="O795" s="1">
        <v>8.7869073320759092E-2</v>
      </c>
      <c r="P795" s="1">
        <v>18.607679820460334</v>
      </c>
      <c r="S795" s="1">
        <f t="shared" si="1031"/>
        <v>14</v>
      </c>
      <c r="T795" s="1">
        <v>240</v>
      </c>
    </row>
    <row r="796" spans="1:20" x14ac:dyDescent="0.3">
      <c r="A796" s="1">
        <f t="shared" si="1033"/>
        <v>14241</v>
      </c>
      <c r="B796" s="54" t="s">
        <v>90</v>
      </c>
      <c r="C796" s="54"/>
      <c r="D796" s="54"/>
      <c r="E796" s="27">
        <f t="shared" ref="E796" si="1088">IF(D758="","",MAX(E797,E798))</f>
        <v>0.60000000000013642</v>
      </c>
      <c r="F796" s="26"/>
      <c r="G796" s="26"/>
      <c r="H796" s="26"/>
      <c r="J796" s="1" t="str">
        <f t="shared" ref="J796" si="1089">CONCATENATE(J793,"3")</f>
        <v>53</v>
      </c>
      <c r="M796" s="1">
        <v>0.99999930275436522</v>
      </c>
      <c r="N796" s="1">
        <v>0.12704190670919147</v>
      </c>
      <c r="O796" s="1" t="e">
        <v>#N/A</v>
      </c>
      <c r="P796" s="1" t="e">
        <v>#N/A</v>
      </c>
      <c r="S796" s="1">
        <f t="shared" si="1031"/>
        <v>14</v>
      </c>
      <c r="T796" s="1">
        <v>241</v>
      </c>
    </row>
    <row r="797" spans="1:20" x14ac:dyDescent="0.3">
      <c r="A797" s="1">
        <f t="shared" si="1033"/>
        <v>14242</v>
      </c>
      <c r="B797" s="2" t="s">
        <v>26</v>
      </c>
      <c r="C797" s="2" t="s">
        <v>27</v>
      </c>
      <c r="D797" s="2" t="s">
        <v>28</v>
      </c>
      <c r="E797" s="28">
        <f t="shared" ref="E797" si="1090">ABS(MIN(D798:D812))</f>
        <v>0.60000000000013642</v>
      </c>
      <c r="F797" s="26"/>
      <c r="H797" s="26"/>
      <c r="J797" s="1">
        <f t="shared" ref="J797" si="1091">J793-1</f>
        <v>4</v>
      </c>
      <c r="M797" s="1" t="s">
        <v>2</v>
      </c>
      <c r="N797" s="1" t="s">
        <v>3</v>
      </c>
      <c r="O797" s="1" t="s">
        <v>4</v>
      </c>
      <c r="P797" s="1" t="s">
        <v>5</v>
      </c>
      <c r="S797" s="1">
        <f t="shared" si="1031"/>
        <v>14</v>
      </c>
      <c r="T797" s="1">
        <v>242</v>
      </c>
    </row>
    <row r="798" spans="1:20" x14ac:dyDescent="0.3">
      <c r="A798" s="1">
        <f t="shared" si="1033"/>
        <v>14243</v>
      </c>
      <c r="B798" s="2">
        <f t="shared" ref="B798:B812" si="1092">C772-B772</f>
        <v>-0.39999999999997726</v>
      </c>
      <c r="C798" s="2">
        <f t="shared" ref="C798:C812" si="1093">H772-G772</f>
        <v>0.10000000000002274</v>
      </c>
      <c r="D798" s="2">
        <f t="shared" ref="D798:D812" si="1094">C798-B798</f>
        <v>0.5</v>
      </c>
      <c r="E798" s="28">
        <f t="shared" ref="E798" si="1095">ABS(MAX(D798:D812))</f>
        <v>0.5</v>
      </c>
      <c r="F798" s="26"/>
      <c r="H798" s="26"/>
      <c r="J798" s="1" t="str">
        <f t="shared" ref="J798" si="1096">CONCATENATE(J797,"1")</f>
        <v>41</v>
      </c>
      <c r="M798" s="1">
        <f t="array" ref="M798:P800">LINEST($B772:$B777,$C772:$C777^{1,2,3},TRUE,TRUE)</f>
        <v>-3.7100233855660625E-7</v>
      </c>
      <c r="N798" s="1">
        <v>7.3146116880078973E-4</v>
      </c>
      <c r="O798" s="1">
        <v>0.52254334302979577</v>
      </c>
      <c r="P798" s="1">
        <v>102.63620637275987</v>
      </c>
      <c r="S798" s="1">
        <f t="shared" si="1031"/>
        <v>14</v>
      </c>
      <c r="T798" s="1">
        <v>243</v>
      </c>
    </row>
    <row r="799" spans="1:20" x14ac:dyDescent="0.3">
      <c r="A799" s="1">
        <f t="shared" si="1033"/>
        <v>14244</v>
      </c>
      <c r="B799" s="2">
        <f t="shared" si="1092"/>
        <v>0.5</v>
      </c>
      <c r="C799" s="2">
        <f t="shared" si="1093"/>
        <v>0.10000000000002274</v>
      </c>
      <c r="D799" s="2">
        <f t="shared" si="1094"/>
        <v>-0.39999999999997726</v>
      </c>
      <c r="E799" s="29" t="s">
        <v>32</v>
      </c>
      <c r="F799" s="26"/>
      <c r="H799" s="26"/>
      <c r="J799" s="1" t="str">
        <f t="shared" ref="J799" si="1097">CONCATENATE(J797,"2")</f>
        <v>42</v>
      </c>
      <c r="M799" s="1">
        <v>9.7457368768312705E-8</v>
      </c>
      <c r="N799" s="1">
        <v>1.8300285399585516E-4</v>
      </c>
      <c r="O799" s="1">
        <v>0.11346930340391574</v>
      </c>
      <c r="P799" s="1">
        <v>23.224148393086843</v>
      </c>
      <c r="S799" s="1">
        <f t="shared" si="1031"/>
        <v>14</v>
      </c>
      <c r="T799" s="1">
        <v>244</v>
      </c>
    </row>
    <row r="800" spans="1:20" x14ac:dyDescent="0.3">
      <c r="A800" s="1">
        <f t="shared" si="1033"/>
        <v>14245</v>
      </c>
      <c r="B800" s="2">
        <f t="shared" si="1092"/>
        <v>0.60000000000002274</v>
      </c>
      <c r="C800" s="2">
        <f t="shared" si="1093"/>
        <v>0.10000000000002274</v>
      </c>
      <c r="D800" s="2">
        <f t="shared" si="1094"/>
        <v>-0.5</v>
      </c>
      <c r="E800" s="27">
        <f t="shared" ref="E800" si="1098">IF(D758="","",MAX(E801,E802))</f>
        <v>0.70000000000004547</v>
      </c>
      <c r="F800" s="26"/>
      <c r="H800" s="26"/>
      <c r="J800" s="1" t="str">
        <f t="shared" ref="J800" si="1099">CONCATENATE(J797,"3")</f>
        <v>43</v>
      </c>
      <c r="M800" s="1">
        <v>0.99999956684733382</v>
      </c>
      <c r="N800" s="1">
        <v>9.681988820349853E-2</v>
      </c>
      <c r="O800" s="1" t="e">
        <v>#N/A</v>
      </c>
      <c r="P800" s="1" t="e">
        <v>#N/A</v>
      </c>
      <c r="S800" s="1">
        <f t="shared" si="1031"/>
        <v>14</v>
      </c>
      <c r="T800" s="1">
        <v>245</v>
      </c>
    </row>
    <row r="801" spans="1:20" x14ac:dyDescent="0.3">
      <c r="A801" s="1">
        <f t="shared" si="1033"/>
        <v>14246</v>
      </c>
      <c r="B801" s="2">
        <f t="shared" si="1092"/>
        <v>0.5</v>
      </c>
      <c r="C801" s="2">
        <f t="shared" si="1093"/>
        <v>0.10000000000002274</v>
      </c>
      <c r="D801" s="2">
        <f t="shared" si="1094"/>
        <v>-0.39999999999997726</v>
      </c>
      <c r="E801" s="28">
        <f t="shared" ref="E801" si="1100">ABS(MIN(B798:B812))</f>
        <v>0.39999999999997726</v>
      </c>
      <c r="F801" s="26"/>
      <c r="H801" s="26"/>
      <c r="J801" s="1">
        <f t="shared" ref="J801" si="1101">J797-1</f>
        <v>3</v>
      </c>
      <c r="M801" s="1" t="s">
        <v>2</v>
      </c>
      <c r="N801" s="1" t="s">
        <v>3</v>
      </c>
      <c r="O801" s="1" t="s">
        <v>4</v>
      </c>
      <c r="P801" s="1" t="s">
        <v>5</v>
      </c>
      <c r="S801" s="1">
        <f t="shared" si="1031"/>
        <v>14</v>
      </c>
      <c r="T801" s="1">
        <v>246</v>
      </c>
    </row>
    <row r="802" spans="1:20" x14ac:dyDescent="0.3">
      <c r="A802" s="1">
        <f t="shared" si="1033"/>
        <v>14247</v>
      </c>
      <c r="B802" s="2">
        <f t="shared" si="1092"/>
        <v>0.5</v>
      </c>
      <c r="C802" s="2">
        <f t="shared" si="1093"/>
        <v>0</v>
      </c>
      <c r="D802" s="2">
        <f t="shared" si="1094"/>
        <v>-0.5</v>
      </c>
      <c r="E802" s="28">
        <f t="shared" ref="E802" si="1102">ABS(MAX(B798:B812))</f>
        <v>0.70000000000004547</v>
      </c>
      <c r="F802" s="26"/>
      <c r="H802" s="26"/>
      <c r="J802" s="1" t="str">
        <f t="shared" ref="J802" si="1103">CONCATENATE(J801,"1")</f>
        <v>31</v>
      </c>
      <c r="M802" s="1">
        <f t="array" ref="M802:P804">LINEST($B772:$B776,$C772:$C776^{1,2,3},TRUE,TRUE)</f>
        <v>-6.1855868464471261E-7</v>
      </c>
      <c r="N802" s="1">
        <v>1.172167292875749E-3</v>
      </c>
      <c r="O802" s="1">
        <v>0.26298648411566844</v>
      </c>
      <c r="P802" s="1">
        <v>153.20845598116782</v>
      </c>
      <c r="S802" s="1">
        <f t="shared" si="1031"/>
        <v>14</v>
      </c>
      <c r="T802" s="1">
        <v>247</v>
      </c>
    </row>
    <row r="803" spans="1:20" x14ac:dyDescent="0.3">
      <c r="A803" s="1">
        <f t="shared" si="1033"/>
        <v>14248</v>
      </c>
      <c r="B803" s="2">
        <f t="shared" si="1092"/>
        <v>0.5</v>
      </c>
      <c r="C803" s="2">
        <f t="shared" si="1093"/>
        <v>0</v>
      </c>
      <c r="D803" s="2">
        <f t="shared" si="1094"/>
        <v>-0.5</v>
      </c>
      <c r="E803" s="29" t="s">
        <v>33</v>
      </c>
      <c r="F803" s="26"/>
      <c r="J803" s="1" t="str">
        <f t="shared" ref="J803" si="1104">CONCATENATE(J801,"2")</f>
        <v>32</v>
      </c>
      <c r="M803" s="1">
        <v>8.39876605049846E-8</v>
      </c>
      <c r="N803" s="1">
        <v>1.5136967461268935E-4</v>
      </c>
      <c r="O803" s="1">
        <v>9.030377512355503E-2</v>
      </c>
      <c r="P803" s="1">
        <v>17.829694440628494</v>
      </c>
      <c r="S803" s="1">
        <f t="shared" si="1031"/>
        <v>14</v>
      </c>
      <c r="T803" s="1">
        <v>248</v>
      </c>
    </row>
    <row r="804" spans="1:20" x14ac:dyDescent="0.3">
      <c r="A804" s="1">
        <f t="shared" si="1033"/>
        <v>14249</v>
      </c>
      <c r="B804" s="2">
        <f t="shared" si="1092"/>
        <v>0.5</v>
      </c>
      <c r="C804" s="2">
        <f t="shared" si="1093"/>
        <v>0.10000000000002274</v>
      </c>
      <c r="D804" s="2">
        <f t="shared" si="1094"/>
        <v>-0.39999999999997726</v>
      </c>
      <c r="E804" s="27">
        <f t="shared" ref="E804" si="1105">IF(D758="","",MAX(E805,E806))</f>
        <v>0.3</v>
      </c>
      <c r="F804" s="26"/>
      <c r="J804" s="1" t="str">
        <f t="shared" ref="J804" si="1106">CONCATENATE(J801,"3")</f>
        <v>33</v>
      </c>
      <c r="M804" s="1">
        <v>0.99999993738108262</v>
      </c>
      <c r="N804" s="1">
        <v>3.9266574197884735E-2</v>
      </c>
      <c r="O804" s="1" t="e">
        <v>#N/A</v>
      </c>
      <c r="P804" s="1" t="e">
        <v>#N/A</v>
      </c>
      <c r="S804" s="1">
        <f t="shared" si="1031"/>
        <v>14</v>
      </c>
      <c r="T804" s="1">
        <v>249</v>
      </c>
    </row>
    <row r="805" spans="1:20" x14ac:dyDescent="0.3">
      <c r="A805" s="1">
        <f t="shared" si="1033"/>
        <v>14250</v>
      </c>
      <c r="B805" s="2">
        <f t="shared" si="1092"/>
        <v>0.60000000000002274</v>
      </c>
      <c r="C805" s="2">
        <f t="shared" si="1093"/>
        <v>0.10000000000002274</v>
      </c>
      <c r="D805" s="2">
        <f t="shared" si="1094"/>
        <v>-0.5</v>
      </c>
      <c r="E805" s="28">
        <f t="shared" ref="E805" si="1107">ABS(MIN(D772:D786))</f>
        <v>0.3</v>
      </c>
      <c r="F805" s="26"/>
      <c r="J805" s="1">
        <f t="shared" ref="J805" si="1108">J801-1</f>
        <v>2</v>
      </c>
      <c r="N805" s="1" t="s">
        <v>3</v>
      </c>
      <c r="O805" s="1" t="s">
        <v>4</v>
      </c>
      <c r="P805" s="1" t="s">
        <v>5</v>
      </c>
      <c r="S805" s="1">
        <f t="shared" si="1031"/>
        <v>14</v>
      </c>
      <c r="T805" s="1">
        <v>250</v>
      </c>
    </row>
    <row r="806" spans="1:20" x14ac:dyDescent="0.3">
      <c r="A806" s="1">
        <f t="shared" si="1033"/>
        <v>14251</v>
      </c>
      <c r="B806" s="2">
        <f t="shared" si="1092"/>
        <v>0.60000000000002274</v>
      </c>
      <c r="C806" s="2">
        <f t="shared" si="1093"/>
        <v>0.10000000000002274</v>
      </c>
      <c r="D806" s="2">
        <f t="shared" si="1094"/>
        <v>-0.5</v>
      </c>
      <c r="E806" s="28">
        <f t="shared" ref="E806" si="1109">ABS(MAX(D772:D786))</f>
        <v>0.3</v>
      </c>
      <c r="F806" s="26"/>
      <c r="J806" s="1" t="str">
        <f t="shared" ref="J806" si="1110">CONCATENATE(J805,"1")</f>
        <v>21</v>
      </c>
      <c r="N806" s="1">
        <f t="array" ref="N806:P808">LINEST($B772:$B775,$C772:$C775^{1,2},TRUE,TRUE)</f>
        <v>1.0190164485399525E-4</v>
      </c>
      <c r="O806" s="1">
        <v>0.87709020758317346</v>
      </c>
      <c r="P806" s="1">
        <v>36.368683231133872</v>
      </c>
      <c r="S806" s="1">
        <f t="shared" si="1031"/>
        <v>14</v>
      </c>
      <c r="T806" s="1">
        <v>251</v>
      </c>
    </row>
    <row r="807" spans="1:20" x14ac:dyDescent="0.3">
      <c r="A807" s="1">
        <f t="shared" si="1033"/>
        <v>14252</v>
      </c>
      <c r="B807" s="2">
        <f t="shared" si="1092"/>
        <v>0.60000000000002274</v>
      </c>
      <c r="C807" s="2">
        <f t="shared" si="1093"/>
        <v>0.10000000000002274</v>
      </c>
      <c r="D807" s="2">
        <f t="shared" si="1094"/>
        <v>-0.5</v>
      </c>
      <c r="E807" s="26"/>
      <c r="F807" s="26"/>
      <c r="J807" s="1" t="str">
        <f t="shared" ref="J807" si="1111">CONCATENATE(J805,"2")</f>
        <v>22</v>
      </c>
      <c r="N807" s="1">
        <v>2.8190685388906328E-5</v>
      </c>
      <c r="O807" s="1">
        <v>3.2474286830865833E-2</v>
      </c>
      <c r="P807" s="1">
        <v>9.2794405383586174</v>
      </c>
      <c r="S807" s="1">
        <f t="shared" si="1031"/>
        <v>14</v>
      </c>
      <c r="T807" s="1">
        <v>252</v>
      </c>
    </row>
    <row r="808" spans="1:20" x14ac:dyDescent="0.3">
      <c r="A808" s="1">
        <f t="shared" si="1033"/>
        <v>14253</v>
      </c>
      <c r="B808" s="2">
        <f t="shared" si="1092"/>
        <v>0.60000000000002274</v>
      </c>
      <c r="C808" s="2">
        <f t="shared" si="1093"/>
        <v>0.10000000000002274</v>
      </c>
      <c r="D808" s="2">
        <f t="shared" si="1094"/>
        <v>-0.5</v>
      </c>
      <c r="E808" s="26"/>
      <c r="F808" s="26"/>
      <c r="J808" s="1" t="str">
        <f t="shared" ref="J808" si="1112">CONCATENATE(J805,"3")</f>
        <v>23</v>
      </c>
      <c r="N808" s="1">
        <v>0.99999842155887331</v>
      </c>
      <c r="O808" s="1">
        <v>0.13884236232632574</v>
      </c>
      <c r="P808" s="1" t="e">
        <v>#N/A</v>
      </c>
      <c r="S808" s="1">
        <f t="shared" si="1031"/>
        <v>14</v>
      </c>
      <c r="T808" s="1">
        <v>253</v>
      </c>
    </row>
    <row r="809" spans="1:20" x14ac:dyDescent="0.3">
      <c r="A809" s="1">
        <f t="shared" si="1033"/>
        <v>14254</v>
      </c>
      <c r="B809" s="2">
        <f t="shared" si="1092"/>
        <v>0.5</v>
      </c>
      <c r="C809" s="2">
        <f t="shared" si="1093"/>
        <v>0</v>
      </c>
      <c r="D809" s="2">
        <f t="shared" si="1094"/>
        <v>-0.5</v>
      </c>
      <c r="E809" s="26"/>
      <c r="F809" s="26"/>
      <c r="J809" s="1">
        <f t="shared" ref="J809" si="1113">J805-1</f>
        <v>1</v>
      </c>
      <c r="O809" s="1" t="s">
        <v>4</v>
      </c>
      <c r="P809" s="1" t="s">
        <v>5</v>
      </c>
      <c r="S809" s="1">
        <f t="shared" si="1031"/>
        <v>14</v>
      </c>
      <c r="T809" s="1">
        <v>254</v>
      </c>
    </row>
    <row r="810" spans="1:20" x14ac:dyDescent="0.3">
      <c r="A810" s="1">
        <f t="shared" si="1033"/>
        <v>14255</v>
      </c>
      <c r="B810" s="2">
        <f t="shared" si="1092"/>
        <v>0.70000000000004547</v>
      </c>
      <c r="C810" s="2">
        <f t="shared" si="1093"/>
        <v>9.9999999999909051E-2</v>
      </c>
      <c r="D810" s="2">
        <f t="shared" si="1094"/>
        <v>-0.60000000000013642</v>
      </c>
      <c r="E810" s="26"/>
      <c r="F810" s="26"/>
      <c r="J810" s="1" t="str">
        <f t="shared" ref="J810" si="1114">CONCATENATE(J809,"1")</f>
        <v>11</v>
      </c>
      <c r="O810" s="1">
        <f t="array" ref="O810:P812">LINEST($B772:$B774,$C772:$C774^{1},TRUE,TRUE)</f>
        <v>0.98992654060672047</v>
      </c>
      <c r="P810" s="1">
        <v>5.3104271527681703</v>
      </c>
      <c r="S810" s="1">
        <f t="shared" si="1031"/>
        <v>14</v>
      </c>
      <c r="T810" s="1">
        <v>255</v>
      </c>
    </row>
    <row r="811" spans="1:20" x14ac:dyDescent="0.3">
      <c r="A811" s="1">
        <f t="shared" si="1033"/>
        <v>14256</v>
      </c>
      <c r="B811" s="2">
        <f t="shared" si="1092"/>
        <v>0</v>
      </c>
      <c r="C811" s="2">
        <f t="shared" si="1093"/>
        <v>0</v>
      </c>
      <c r="D811" s="2">
        <f t="shared" si="1094"/>
        <v>0</v>
      </c>
      <c r="E811" s="26"/>
      <c r="F811" s="26"/>
      <c r="J811" s="1" t="str">
        <f t="shared" ref="J811" si="1115">CONCATENATE(J809,"2")</f>
        <v>12</v>
      </c>
      <c r="O811" s="1">
        <v>4.7242033317579177E-3</v>
      </c>
      <c r="P811" s="1">
        <v>2.606888569222428</v>
      </c>
      <c r="S811" s="1">
        <f t="shared" si="1031"/>
        <v>14</v>
      </c>
      <c r="T811" s="1">
        <v>256</v>
      </c>
    </row>
    <row r="812" spans="1:20" x14ac:dyDescent="0.3">
      <c r="A812" s="1">
        <f t="shared" si="1033"/>
        <v>14257</v>
      </c>
      <c r="B812" s="2">
        <f t="shared" si="1092"/>
        <v>0</v>
      </c>
      <c r="C812" s="2">
        <f t="shared" si="1093"/>
        <v>0</v>
      </c>
      <c r="D812" s="2">
        <f t="shared" si="1094"/>
        <v>0</v>
      </c>
      <c r="E812" s="30"/>
      <c r="F812" s="30"/>
      <c r="J812" s="1" t="str">
        <f t="shared" ref="J812" si="1116">CONCATENATE(J809,"3")</f>
        <v>13</v>
      </c>
      <c r="O812" s="1">
        <v>0.99997722589408555</v>
      </c>
      <c r="P812" s="1">
        <v>0.33071672866427093</v>
      </c>
      <c r="S812" s="1">
        <f t="shared" si="1031"/>
        <v>14</v>
      </c>
      <c r="T812" s="1">
        <v>257</v>
      </c>
    </row>
    <row r="813" spans="1:20" s="8" customFormat="1" x14ac:dyDescent="0.3"/>
    <row r="814" spans="1:20" x14ac:dyDescent="0.3">
      <c r="A814" s="1">
        <f t="shared" ref="A814:A870" si="1117">ROUND(CONCATENATE(S814,T814),0)</f>
        <v>15201</v>
      </c>
      <c r="B814" s="57" t="s">
        <v>0</v>
      </c>
      <c r="C814" s="57"/>
      <c r="D814" s="56" t="s">
        <v>46</v>
      </c>
      <c r="E814" s="56"/>
      <c r="F814" s="56"/>
      <c r="G814" s="56"/>
      <c r="H814" s="56"/>
      <c r="L814" s="1">
        <v>1</v>
      </c>
      <c r="M814" s="1">
        <v>2</v>
      </c>
      <c r="N814" s="1">
        <v>3</v>
      </c>
      <c r="O814" s="1">
        <v>4</v>
      </c>
      <c r="P814" s="1">
        <v>5</v>
      </c>
      <c r="Q814" s="1">
        <v>6</v>
      </c>
      <c r="R814" s="1">
        <v>7</v>
      </c>
      <c r="S814" s="1">
        <f t="shared" ref="S814" si="1118">S812+1</f>
        <v>15</v>
      </c>
      <c r="T814" s="1">
        <v>201</v>
      </c>
    </row>
    <row r="815" spans="1:20" x14ac:dyDescent="0.3">
      <c r="A815" s="1">
        <f t="shared" si="1117"/>
        <v>15202</v>
      </c>
      <c r="B815" s="57"/>
      <c r="C815" s="57"/>
      <c r="D815" s="57"/>
      <c r="E815" s="57"/>
      <c r="F815" s="57"/>
      <c r="G815" s="57"/>
      <c r="H815" s="57"/>
      <c r="K815" s="2" t="s">
        <v>1</v>
      </c>
      <c r="L815" s="2"/>
      <c r="M815" s="2" t="s">
        <v>2</v>
      </c>
      <c r="N815" s="2" t="s">
        <v>3</v>
      </c>
      <c r="O815" s="2" t="s">
        <v>4</v>
      </c>
      <c r="P815" s="2" t="s">
        <v>5</v>
      </c>
      <c r="S815" s="1">
        <f t="shared" ref="S815" si="1119">S814</f>
        <v>15</v>
      </c>
      <c r="T815" s="1">
        <v>202</v>
      </c>
    </row>
    <row r="816" spans="1:20" x14ac:dyDescent="0.3">
      <c r="A816" s="1">
        <f t="shared" si="1117"/>
        <v>15203</v>
      </c>
      <c r="B816" s="64" t="s">
        <v>6</v>
      </c>
      <c r="C816" s="64"/>
      <c r="D816" s="56" t="s">
        <v>141</v>
      </c>
      <c r="E816" s="56"/>
      <c r="F816" s="56"/>
      <c r="G816" s="56"/>
      <c r="H816" s="56"/>
      <c r="K816" s="3">
        <f t="shared" ref="K816" si="1120">IF(K818&gt;=3,N818,LOOKUP(15-($B845+1),M814:R814,M818:P818))</f>
        <v>3.5786747524967438E-2</v>
      </c>
      <c r="L816" s="2" t="str">
        <f t="shared" ref="L816" si="1121">CONCATENATE($B845,"1")</f>
        <v>111</v>
      </c>
      <c r="M816" s="2">
        <f t="shared" ref="M816" si="1122">VLOOKUP(L816,J819:P870,O814,FALSE)</f>
        <v>-6.8674437114351172E-10</v>
      </c>
      <c r="N816" s="2">
        <f t="shared" ref="N816" si="1123">VLOOKUP(L816,J819:P870,P814,FALSE)</f>
        <v>1.3269527238282232E-6</v>
      </c>
      <c r="O816" s="2">
        <f t="shared" ref="O816" si="1124">VLOOKUP(L816,J819:P870,Q814,FALSE)</f>
        <v>0.9994363335835329</v>
      </c>
      <c r="P816" s="2">
        <f t="shared" ref="P816" si="1125">VLOOKUP(L816,J819:P870,R814,FALSE)</f>
        <v>-7.394096591486965E-2</v>
      </c>
      <c r="S816" s="1">
        <f t="shared" si="1031"/>
        <v>15</v>
      </c>
      <c r="T816" s="1">
        <v>203</v>
      </c>
    </row>
    <row r="817" spans="1:20" x14ac:dyDescent="0.3">
      <c r="A817" s="1">
        <f t="shared" si="1117"/>
        <v>15204</v>
      </c>
      <c r="B817" s="57" t="s">
        <v>7</v>
      </c>
      <c r="C817" s="57"/>
      <c r="D817" s="56" t="s">
        <v>92</v>
      </c>
      <c r="E817" s="56"/>
      <c r="F817" s="56"/>
      <c r="G817" s="56"/>
      <c r="H817" s="56"/>
      <c r="K817" s="2" t="s">
        <v>8</v>
      </c>
      <c r="L817" s="2" t="str">
        <f t="shared" ref="L817" si="1126">CONCATENATE($B845,"2")</f>
        <v>112</v>
      </c>
      <c r="M817" s="2">
        <f t="shared" ref="M817" si="1127">VLOOKUP(L817,J819:P870,O814,FALSE)</f>
        <v>2.0057222957063402E-9</v>
      </c>
      <c r="N817" s="2">
        <f t="shared" ref="N817" si="1128">VLOOKUP(L817,J819:P870,P814,FALSE)</f>
        <v>4.8270181546647524E-6</v>
      </c>
      <c r="O817" s="2">
        <f t="shared" ref="O817" si="1129">VLOOKUP(L817,J819:P870,Q814,FALSE)</f>
        <v>3.7656625850049242E-3</v>
      </c>
      <c r="P817" s="2">
        <f t="shared" ref="P817" si="1130">VLOOKUP(L817,J819:P870,R814,FALSE)</f>
        <v>0.94960239896817267</v>
      </c>
      <c r="S817" s="1">
        <f t="shared" ref="S817:S880" si="1131">S816</f>
        <v>15</v>
      </c>
      <c r="T817" s="1">
        <v>204</v>
      </c>
    </row>
    <row r="818" spans="1:20" x14ac:dyDescent="0.3">
      <c r="A818" s="1">
        <f t="shared" si="1117"/>
        <v>15205</v>
      </c>
      <c r="B818" s="57" t="s">
        <v>9</v>
      </c>
      <c r="C818" s="57"/>
      <c r="D818" s="56" t="s">
        <v>91</v>
      </c>
      <c r="E818" s="56"/>
      <c r="F818" s="56"/>
      <c r="G818" s="56"/>
      <c r="H818" s="56"/>
      <c r="K818" s="3">
        <f t="shared" ref="K818" si="1132">IF(B845&gt;3,3,B845)</f>
        <v>3</v>
      </c>
      <c r="L818" s="2" t="str">
        <f t="shared" ref="L818" si="1133">CONCATENATE($B845,"3")</f>
        <v>113</v>
      </c>
      <c r="M818" s="2">
        <f t="shared" ref="M818" si="1134">VLOOKUP(L818,J819:P870,O814,FALSE)</f>
        <v>0.99999997464428558</v>
      </c>
      <c r="N818" s="2">
        <f t="shared" ref="N818" si="1135">VLOOKUP(L818,J819:P870,P814,FALSE)</f>
        <v>3.5786747524967438E-2</v>
      </c>
      <c r="O818" s="2" t="e">
        <f t="shared" ref="O818" si="1136">VLOOKUP(L818,J819:P870,Q814,FALSE)</f>
        <v>#N/A</v>
      </c>
      <c r="P818" s="2" t="e">
        <f t="shared" ref="P818" si="1137">VLOOKUP(L818,J819:P870,R814,FALSE)</f>
        <v>#N/A</v>
      </c>
      <c r="S818" s="1">
        <f t="shared" si="1131"/>
        <v>15</v>
      </c>
      <c r="T818" s="1">
        <v>205</v>
      </c>
    </row>
    <row r="819" spans="1:20" x14ac:dyDescent="0.3">
      <c r="A819" s="1">
        <f t="shared" si="1117"/>
        <v>15206</v>
      </c>
      <c r="B819" s="57" t="s">
        <v>10</v>
      </c>
      <c r="C819" s="57"/>
      <c r="D819" s="62" t="s">
        <v>142</v>
      </c>
      <c r="E819" s="56"/>
      <c r="F819" s="56"/>
      <c r="G819" s="56"/>
      <c r="H819" s="56"/>
      <c r="J819" s="1">
        <v>13</v>
      </c>
      <c r="M819" s="1" t="s">
        <v>2</v>
      </c>
      <c r="N819" s="1" t="s">
        <v>3</v>
      </c>
      <c r="O819" s="1" t="s">
        <v>4</v>
      </c>
      <c r="P819" s="1" t="s">
        <v>5</v>
      </c>
      <c r="S819" s="1">
        <f t="shared" si="1131"/>
        <v>15</v>
      </c>
      <c r="T819" s="1">
        <v>206</v>
      </c>
    </row>
    <row r="820" spans="1:20" x14ac:dyDescent="0.3">
      <c r="A820" s="1">
        <f t="shared" si="1117"/>
        <v>15207</v>
      </c>
      <c r="B820" s="57" t="s">
        <v>11</v>
      </c>
      <c r="C820" s="57"/>
      <c r="D820" s="63">
        <v>45819</v>
      </c>
      <c r="E820" s="63"/>
      <c r="F820" s="63"/>
      <c r="G820" s="63"/>
      <c r="H820" s="63"/>
      <c r="J820" s="1" t="str">
        <f t="shared" ref="J820" si="1138">CONCATENATE(J819,"1")</f>
        <v>131</v>
      </c>
      <c r="M820" s="1" t="e">
        <f t="array" ref="M820:P822">LINEST($B830:$B844,$C830:$C844^{1,2,3},TRUE,TRUE)</f>
        <v>#VALUE!</v>
      </c>
      <c r="N820" s="1" t="e">
        <v>#VALUE!</v>
      </c>
      <c r="O820" s="1" t="e">
        <v>#VALUE!</v>
      </c>
      <c r="P820" s="1" t="e">
        <v>#VALUE!</v>
      </c>
      <c r="S820" s="1">
        <f t="shared" si="1131"/>
        <v>15</v>
      </c>
      <c r="T820" s="1">
        <v>207</v>
      </c>
    </row>
    <row r="821" spans="1:20" x14ac:dyDescent="0.3">
      <c r="A821" s="1">
        <f t="shared" si="1117"/>
        <v>15208</v>
      </c>
      <c r="B821" s="57" t="s">
        <v>12</v>
      </c>
      <c r="C821" s="57"/>
      <c r="D821" s="58">
        <v>46203</v>
      </c>
      <c r="E821" s="58"/>
      <c r="F821" s="58"/>
      <c r="G821" s="58"/>
      <c r="H821" s="58"/>
      <c r="J821" s="1" t="str">
        <f t="shared" ref="J821" si="1139">CONCATENATE(J819,"2")</f>
        <v>132</v>
      </c>
      <c r="M821" s="1" t="e">
        <v>#VALUE!</v>
      </c>
      <c r="N821" s="1" t="e">
        <v>#VALUE!</v>
      </c>
      <c r="O821" s="1" t="e">
        <v>#VALUE!</v>
      </c>
      <c r="P821" s="1" t="e">
        <v>#VALUE!</v>
      </c>
      <c r="S821" s="1">
        <f t="shared" si="1131"/>
        <v>15</v>
      </c>
      <c r="T821" s="1">
        <v>208</v>
      </c>
    </row>
    <row r="822" spans="1:20" x14ac:dyDescent="0.3">
      <c r="A822" s="1">
        <f t="shared" si="1117"/>
        <v>15209</v>
      </c>
      <c r="B822" s="57" t="s">
        <v>13</v>
      </c>
      <c r="C822" s="57"/>
      <c r="D822" s="9">
        <v>0.1</v>
      </c>
      <c r="E822" s="54" t="s">
        <v>14</v>
      </c>
      <c r="F822" s="54"/>
      <c r="G822" s="54"/>
      <c r="H822" s="9" t="s">
        <v>59</v>
      </c>
      <c r="J822" s="1" t="str">
        <f t="shared" ref="J822" si="1140">CONCATENATE(J819,"3")</f>
        <v>133</v>
      </c>
      <c r="M822" s="1" t="e">
        <v>#VALUE!</v>
      </c>
      <c r="N822" s="1" t="e">
        <v>#VALUE!</v>
      </c>
      <c r="O822" s="1" t="e">
        <v>#VALUE!</v>
      </c>
      <c r="P822" s="1" t="e">
        <v>#VALUE!</v>
      </c>
      <c r="S822" s="1">
        <f t="shared" si="1131"/>
        <v>15</v>
      </c>
      <c r="T822" s="1">
        <v>209</v>
      </c>
    </row>
    <row r="823" spans="1:20" x14ac:dyDescent="0.3">
      <c r="A823" s="1">
        <f t="shared" si="1117"/>
        <v>15210</v>
      </c>
      <c r="B823" s="57" t="s">
        <v>15</v>
      </c>
      <c r="C823" s="57"/>
      <c r="D823" s="2">
        <f>MIN(B830:B844)</f>
        <v>500.9</v>
      </c>
      <c r="E823" s="4" t="s">
        <v>16</v>
      </c>
      <c r="F823" s="2">
        <f>MAX(B830:B844)</f>
        <v>1100</v>
      </c>
      <c r="G823" s="5" t="str">
        <f>IF(H822="","",H822)</f>
        <v>hPa</v>
      </c>
      <c r="H823" s="23"/>
      <c r="J823" s="1">
        <f t="shared" ref="J823" si="1141">J819-1</f>
        <v>12</v>
      </c>
      <c r="M823" s="1" t="s">
        <v>2</v>
      </c>
      <c r="N823" s="1" t="s">
        <v>3</v>
      </c>
      <c r="O823" s="1" t="s">
        <v>4</v>
      </c>
      <c r="P823" s="1" t="s">
        <v>5</v>
      </c>
      <c r="S823" s="1">
        <f t="shared" si="1131"/>
        <v>15</v>
      </c>
      <c r="T823" s="1">
        <v>210</v>
      </c>
    </row>
    <row r="824" spans="1:20" x14ac:dyDescent="0.3">
      <c r="A824" s="1">
        <f t="shared" si="1117"/>
        <v>15211</v>
      </c>
      <c r="J824" s="1" t="str">
        <f t="shared" ref="J824" si="1142">CONCATENATE(J823,"1")</f>
        <v>121</v>
      </c>
      <c r="M824" s="1" t="e">
        <f t="array" ref="M824:P826">LINEST($B830:$B843,$C830:$C843^{1,2,3},TRUE,TRUE)</f>
        <v>#VALUE!</v>
      </c>
      <c r="N824" s="1" t="e">
        <v>#VALUE!</v>
      </c>
      <c r="O824" s="1" t="e">
        <v>#VALUE!</v>
      </c>
      <c r="P824" s="1" t="e">
        <v>#VALUE!</v>
      </c>
      <c r="S824" s="1">
        <f t="shared" si="1131"/>
        <v>15</v>
      </c>
      <c r="T824" s="1">
        <v>211</v>
      </c>
    </row>
    <row r="825" spans="1:20" x14ac:dyDescent="0.3">
      <c r="A825" s="1">
        <f t="shared" si="1117"/>
        <v>15212</v>
      </c>
      <c r="B825" s="59" t="s">
        <v>17</v>
      </c>
      <c r="C825" s="59"/>
      <c r="D825" s="59"/>
      <c r="E825" s="59"/>
      <c r="F825" s="59"/>
      <c r="G825" s="60" t="s">
        <v>29</v>
      </c>
      <c r="H825" s="61"/>
      <c r="J825" s="1" t="str">
        <f t="shared" ref="J825" si="1143">CONCATENATE(J823,"2")</f>
        <v>122</v>
      </c>
      <c r="M825" s="1" t="e">
        <v>#VALUE!</v>
      </c>
      <c r="N825" s="1" t="e">
        <v>#VALUE!</v>
      </c>
      <c r="O825" s="1" t="e">
        <v>#VALUE!</v>
      </c>
      <c r="P825" s="1" t="e">
        <v>#VALUE!</v>
      </c>
      <c r="S825" s="1">
        <f t="shared" si="1131"/>
        <v>15</v>
      </c>
      <c r="T825" s="1">
        <v>212</v>
      </c>
    </row>
    <row r="826" spans="1:20" x14ac:dyDescent="0.3">
      <c r="A826" s="1">
        <f t="shared" si="1117"/>
        <v>15213</v>
      </c>
      <c r="B826" s="54" t="s">
        <v>18</v>
      </c>
      <c r="C826" s="54"/>
      <c r="D826" s="54"/>
      <c r="E826" s="54" t="str">
        <f>IF(D819="","",D819)</f>
        <v>E0381/25</v>
      </c>
      <c r="F826" s="54"/>
      <c r="G826" s="5" t="s">
        <v>18</v>
      </c>
      <c r="H826" s="20"/>
      <c r="J826" s="1" t="str">
        <f t="shared" ref="J826" si="1144">CONCATENATE(J823,"3")</f>
        <v>123</v>
      </c>
      <c r="M826" s="1" t="e">
        <v>#VALUE!</v>
      </c>
      <c r="N826" s="1" t="e">
        <v>#VALUE!</v>
      </c>
      <c r="O826" s="1" t="e">
        <v>#VALUE!</v>
      </c>
      <c r="P826" s="1" t="e">
        <v>#VALUE!</v>
      </c>
      <c r="S826" s="1">
        <f t="shared" si="1131"/>
        <v>15</v>
      </c>
      <c r="T826" s="1">
        <v>213</v>
      </c>
    </row>
    <row r="827" spans="1:20" ht="15" customHeight="1" x14ac:dyDescent="0.3">
      <c r="A827" s="1">
        <f t="shared" si="1117"/>
        <v>15214</v>
      </c>
      <c r="B827" s="6" t="s">
        <v>19</v>
      </c>
      <c r="C827" s="6" t="s">
        <v>20</v>
      </c>
      <c r="D827" s="6" t="s">
        <v>21</v>
      </c>
      <c r="E827" s="6"/>
      <c r="F827" s="55" t="s">
        <v>31</v>
      </c>
      <c r="G827" s="6" t="s">
        <v>19</v>
      </c>
      <c r="H827" s="6" t="s">
        <v>20</v>
      </c>
      <c r="J827" s="1">
        <f t="shared" ref="J827" si="1145">J823-1</f>
        <v>11</v>
      </c>
      <c r="M827" s="1" t="s">
        <v>2</v>
      </c>
      <c r="N827" s="1" t="s">
        <v>3</v>
      </c>
      <c r="O827" s="1" t="s">
        <v>4</v>
      </c>
      <c r="P827" s="1" t="s">
        <v>5</v>
      </c>
      <c r="S827" s="1">
        <f t="shared" si="1131"/>
        <v>15</v>
      </c>
      <c r="T827" s="1">
        <v>214</v>
      </c>
    </row>
    <row r="828" spans="1:20" x14ac:dyDescent="0.3">
      <c r="A828" s="1">
        <f t="shared" si="1117"/>
        <v>15215</v>
      </c>
      <c r="B828" s="6" t="s">
        <v>22</v>
      </c>
      <c r="C828" s="6" t="s">
        <v>23</v>
      </c>
      <c r="D828" s="6" t="s">
        <v>24</v>
      </c>
      <c r="E828" s="6" t="s">
        <v>30</v>
      </c>
      <c r="F828" s="55"/>
      <c r="G828" s="6" t="s">
        <v>22</v>
      </c>
      <c r="H828" s="6" t="s">
        <v>23</v>
      </c>
      <c r="J828" s="1" t="str">
        <f t="shared" ref="J828" si="1146">CONCATENATE(J827,"1")</f>
        <v>111</v>
      </c>
      <c r="M828" s="1">
        <f t="array" ref="M828:P830">LINEST($B830:$B842,$C830:$C842^{1,2,3},TRUE,TRUE)</f>
        <v>-6.8674437114351172E-10</v>
      </c>
      <c r="N828" s="1">
        <v>1.3269527238282232E-6</v>
      </c>
      <c r="O828" s="1">
        <v>0.9994363335835329</v>
      </c>
      <c r="P828" s="1">
        <v>-7.394096591486965E-2</v>
      </c>
      <c r="S828" s="1">
        <f t="shared" si="1131"/>
        <v>15</v>
      </c>
      <c r="T828" s="1">
        <v>215</v>
      </c>
    </row>
    <row r="829" spans="1:20" x14ac:dyDescent="0.3">
      <c r="A829" s="1">
        <f t="shared" si="1117"/>
        <v>15216</v>
      </c>
      <c r="B829" s="7" t="str">
        <f>IF(H822="","",H822)</f>
        <v>hPa</v>
      </c>
      <c r="C829" s="7" t="str">
        <f>IF(H822="","",H822)</f>
        <v>hPa</v>
      </c>
      <c r="D829" s="7" t="str">
        <f>IF(H822="","",H822)</f>
        <v>hPa</v>
      </c>
      <c r="E829" s="7"/>
      <c r="F829" s="7" t="str">
        <f>IF(I822="","",I822)</f>
        <v/>
      </c>
      <c r="G829" s="7" t="str">
        <f>IF(H822="","",H822)</f>
        <v>hPa</v>
      </c>
      <c r="H829" s="7" t="str">
        <f>IF(H822="","",H822)</f>
        <v>hPa</v>
      </c>
      <c r="J829" s="1" t="str">
        <f t="shared" ref="J829" si="1147">CONCATENATE(J827,"2")</f>
        <v>112</v>
      </c>
      <c r="M829" s="1">
        <v>2.0057222957063402E-9</v>
      </c>
      <c r="N829" s="1">
        <v>4.8270181546647524E-6</v>
      </c>
      <c r="O829" s="1">
        <v>3.7656625850049242E-3</v>
      </c>
      <c r="P829" s="1">
        <v>0.94960239896817267</v>
      </c>
      <c r="S829" s="1">
        <f t="shared" si="1131"/>
        <v>15</v>
      </c>
      <c r="T829" s="1">
        <v>216</v>
      </c>
    </row>
    <row r="830" spans="1:20" x14ac:dyDescent="0.3">
      <c r="A830" s="1">
        <f t="shared" si="1117"/>
        <v>15217</v>
      </c>
      <c r="B830" s="24">
        <v>500.9</v>
      </c>
      <c r="C830" s="24">
        <v>501</v>
      </c>
      <c r="D830" s="21">
        <v>0.2</v>
      </c>
      <c r="E830" s="24">
        <v>2</v>
      </c>
      <c r="F830" s="24">
        <v>1000000</v>
      </c>
      <c r="G830" s="25"/>
      <c r="H830" s="25"/>
      <c r="J830" s="1" t="str">
        <f t="shared" ref="J830" si="1148">CONCATENATE(J827,"3")</f>
        <v>113</v>
      </c>
      <c r="M830" s="1">
        <v>0.99999997464428558</v>
      </c>
      <c r="N830" s="1">
        <v>3.5786747524967438E-2</v>
      </c>
      <c r="O830" s="1" t="e">
        <v>#N/A</v>
      </c>
      <c r="P830" s="1" t="e">
        <v>#N/A</v>
      </c>
      <c r="S830" s="1">
        <f t="shared" si="1131"/>
        <v>15</v>
      </c>
      <c r="T830" s="1">
        <v>217</v>
      </c>
    </row>
    <row r="831" spans="1:20" x14ac:dyDescent="0.3">
      <c r="A831" s="1">
        <f t="shared" si="1117"/>
        <v>15218</v>
      </c>
      <c r="B831" s="24">
        <v>549.9</v>
      </c>
      <c r="C831" s="24">
        <v>550</v>
      </c>
      <c r="D831" s="21">
        <v>0.2</v>
      </c>
      <c r="E831" s="24">
        <v>2</v>
      </c>
      <c r="F831" s="24">
        <v>1000000</v>
      </c>
      <c r="G831" s="25"/>
      <c r="H831" s="25"/>
      <c r="J831" s="1">
        <f t="shared" ref="J831" si="1149">J827-1</f>
        <v>10</v>
      </c>
      <c r="M831" s="1" t="s">
        <v>2</v>
      </c>
      <c r="N831" s="1" t="s">
        <v>3</v>
      </c>
      <c r="O831" s="1" t="s">
        <v>4</v>
      </c>
      <c r="P831" s="1" t="s">
        <v>5</v>
      </c>
      <c r="S831" s="1">
        <f t="shared" si="1131"/>
        <v>15</v>
      </c>
      <c r="T831" s="1">
        <v>218</v>
      </c>
    </row>
    <row r="832" spans="1:20" x14ac:dyDescent="0.3">
      <c r="A832" s="1">
        <f t="shared" si="1117"/>
        <v>15219</v>
      </c>
      <c r="B832" s="24">
        <v>599.9</v>
      </c>
      <c r="C832" s="24">
        <v>600</v>
      </c>
      <c r="D832" s="21">
        <v>0.2</v>
      </c>
      <c r="E832" s="24">
        <v>2</v>
      </c>
      <c r="F832" s="24">
        <v>1000000</v>
      </c>
      <c r="G832" s="25"/>
      <c r="H832" s="25"/>
      <c r="J832" s="1" t="str">
        <f t="shared" ref="J832" si="1150">CONCATENATE(J831,"1")</f>
        <v>101</v>
      </c>
      <c r="M832" s="1">
        <f t="array" ref="M832:P834">LINEST($B830:$B841,$C830:$C841^{1,2,3},TRUE,TRUE)</f>
        <v>-9.1649915457401289E-10</v>
      </c>
      <c r="N832" s="1">
        <v>1.8393688529394652E-6</v>
      </c>
      <c r="O832" s="1">
        <v>0.9990660601999154</v>
      </c>
      <c r="P832" s="1">
        <v>1.2647610400780718E-2</v>
      </c>
      <c r="S832" s="1">
        <f t="shared" si="1131"/>
        <v>15</v>
      </c>
      <c r="T832" s="1">
        <v>219</v>
      </c>
    </row>
    <row r="833" spans="1:20" x14ac:dyDescent="0.3">
      <c r="A833" s="1">
        <f t="shared" si="1117"/>
        <v>15220</v>
      </c>
      <c r="B833" s="24">
        <v>649.9</v>
      </c>
      <c r="C833" s="24">
        <v>650</v>
      </c>
      <c r="D833" s="21">
        <v>0.2</v>
      </c>
      <c r="E833" s="24">
        <v>2</v>
      </c>
      <c r="F833" s="24">
        <v>1000000</v>
      </c>
      <c r="G833" s="25"/>
      <c r="H833" s="25"/>
      <c r="J833" s="1" t="str">
        <f t="shared" ref="J833" si="1151">CONCATENATE(J831,"2")</f>
        <v>102</v>
      </c>
      <c r="M833" s="1">
        <v>2.8356302092213877E-9</v>
      </c>
      <c r="N833" s="1">
        <v>6.6098257849398696E-6</v>
      </c>
      <c r="O833" s="1">
        <v>5.0074247377605314E-3</v>
      </c>
      <c r="P833" s="1">
        <v>1.2300483677736667</v>
      </c>
      <c r="S833" s="1">
        <f t="shared" si="1131"/>
        <v>15</v>
      </c>
      <c r="T833" s="1">
        <v>220</v>
      </c>
    </row>
    <row r="834" spans="1:20" x14ac:dyDescent="0.3">
      <c r="A834" s="1">
        <f t="shared" si="1117"/>
        <v>15221</v>
      </c>
      <c r="B834" s="24">
        <v>700</v>
      </c>
      <c r="C834" s="24">
        <v>700</v>
      </c>
      <c r="D834" s="21">
        <v>0.2</v>
      </c>
      <c r="E834" s="24">
        <v>2</v>
      </c>
      <c r="F834" s="24">
        <v>1000000</v>
      </c>
      <c r="G834" s="25"/>
      <c r="H834" s="25"/>
      <c r="J834" s="1" t="str">
        <f t="shared" ref="J834" si="1152">CONCATENATE(J831,"3")</f>
        <v>103</v>
      </c>
      <c r="M834" s="1">
        <v>0.99999996778356459</v>
      </c>
      <c r="N834" s="1">
        <v>3.7922086023399457E-2</v>
      </c>
      <c r="O834" s="1" t="e">
        <v>#N/A</v>
      </c>
      <c r="P834" s="1" t="e">
        <v>#N/A</v>
      </c>
      <c r="S834" s="1">
        <f t="shared" si="1131"/>
        <v>15</v>
      </c>
      <c r="T834" s="1">
        <v>221</v>
      </c>
    </row>
    <row r="835" spans="1:20" x14ac:dyDescent="0.3">
      <c r="A835" s="1">
        <f t="shared" si="1117"/>
        <v>15222</v>
      </c>
      <c r="B835" s="24">
        <v>750</v>
      </c>
      <c r="C835" s="24">
        <v>750</v>
      </c>
      <c r="D835" s="21">
        <v>0.2</v>
      </c>
      <c r="E835" s="24">
        <v>2</v>
      </c>
      <c r="F835" s="24">
        <v>1000000</v>
      </c>
      <c r="G835" s="25"/>
      <c r="H835" s="25"/>
      <c r="J835" s="1">
        <f t="shared" ref="J835" si="1153">J831-1</f>
        <v>9</v>
      </c>
      <c r="M835" s="1" t="s">
        <v>2</v>
      </c>
      <c r="N835" s="1" t="s">
        <v>3</v>
      </c>
      <c r="O835" s="1" t="s">
        <v>4</v>
      </c>
      <c r="P835" s="1" t="s">
        <v>5</v>
      </c>
      <c r="S835" s="1">
        <f t="shared" si="1131"/>
        <v>15</v>
      </c>
      <c r="T835" s="1">
        <v>222</v>
      </c>
    </row>
    <row r="836" spans="1:20" x14ac:dyDescent="0.3">
      <c r="A836" s="1">
        <f t="shared" si="1117"/>
        <v>15223</v>
      </c>
      <c r="B836" s="24">
        <v>799.9</v>
      </c>
      <c r="C836" s="24">
        <v>800</v>
      </c>
      <c r="D836" s="21">
        <v>0.2</v>
      </c>
      <c r="E836" s="24">
        <v>2</v>
      </c>
      <c r="F836" s="24">
        <v>1000000</v>
      </c>
      <c r="G836" s="25"/>
      <c r="H836" s="25"/>
      <c r="J836" s="1" t="str">
        <f t="shared" ref="J836" si="1154">CONCATENATE(J835,"1")</f>
        <v>91</v>
      </c>
      <c r="M836" s="1">
        <f t="array" ref="M836:P838">LINEST($B830:$B840,$C830:$C840^{1,2,3},TRUE,TRUE)</f>
        <v>-1.0659252775840235E-9</v>
      </c>
      <c r="N836" s="1">
        <v>2.1630309205590547E-6</v>
      </c>
      <c r="O836" s="1">
        <v>0.99883821450325128</v>
      </c>
      <c r="P836" s="1">
        <v>6.4731037846722406E-2</v>
      </c>
      <c r="S836" s="1">
        <f t="shared" si="1131"/>
        <v>15</v>
      </c>
      <c r="T836" s="1">
        <v>223</v>
      </c>
    </row>
    <row r="837" spans="1:20" x14ac:dyDescent="0.3">
      <c r="A837" s="1">
        <f t="shared" si="1117"/>
        <v>15224</v>
      </c>
      <c r="B837" s="24">
        <v>850</v>
      </c>
      <c r="C837" s="24">
        <v>850</v>
      </c>
      <c r="D837" s="21">
        <v>0.2</v>
      </c>
      <c r="E837" s="24">
        <v>2</v>
      </c>
      <c r="F837" s="24">
        <v>1000000</v>
      </c>
      <c r="G837" s="25"/>
      <c r="H837" s="25"/>
      <c r="J837" s="1" t="str">
        <f t="shared" ref="J837" si="1155">CONCATENATE(J835,"2")</f>
        <v>92</v>
      </c>
      <c r="M837" s="1">
        <v>4.153148292464173E-9</v>
      </c>
      <c r="N837" s="1">
        <v>9.3669457665365279E-6</v>
      </c>
      <c r="O837" s="1">
        <v>6.8841299526672152E-3</v>
      </c>
      <c r="P837" s="1">
        <v>1.6456128438367026</v>
      </c>
      <c r="S837" s="1">
        <f t="shared" si="1131"/>
        <v>15</v>
      </c>
      <c r="T837" s="1">
        <v>224</v>
      </c>
    </row>
    <row r="838" spans="1:20" x14ac:dyDescent="0.3">
      <c r="A838" s="1">
        <f t="shared" si="1117"/>
        <v>15225</v>
      </c>
      <c r="B838" s="24">
        <v>900</v>
      </c>
      <c r="C838" s="24">
        <v>900</v>
      </c>
      <c r="D838" s="21">
        <v>0.2</v>
      </c>
      <c r="E838" s="24">
        <v>2</v>
      </c>
      <c r="F838" s="24">
        <v>1000000</v>
      </c>
      <c r="G838" s="25"/>
      <c r="H838" s="25"/>
      <c r="J838" s="1" t="str">
        <f t="shared" ref="J838" si="1156">CONCATENATE(J835,"3")</f>
        <v>93</v>
      </c>
      <c r="M838" s="1">
        <v>0.99999995812514064</v>
      </c>
      <c r="N838" s="1">
        <v>4.0532398463920725E-2</v>
      </c>
      <c r="O838" s="1" t="e">
        <v>#N/A</v>
      </c>
      <c r="P838" s="1" t="e">
        <v>#N/A</v>
      </c>
      <c r="S838" s="1">
        <f t="shared" si="1131"/>
        <v>15</v>
      </c>
      <c r="T838" s="1">
        <v>225</v>
      </c>
    </row>
    <row r="839" spans="1:20" x14ac:dyDescent="0.3">
      <c r="A839" s="1">
        <f t="shared" si="1117"/>
        <v>15226</v>
      </c>
      <c r="B839" s="24">
        <v>950</v>
      </c>
      <c r="C839" s="24">
        <v>950</v>
      </c>
      <c r="D839" s="21">
        <v>0.2</v>
      </c>
      <c r="E839" s="24">
        <v>2</v>
      </c>
      <c r="F839" s="24">
        <v>1000000</v>
      </c>
      <c r="G839" s="25"/>
      <c r="H839" s="25"/>
      <c r="J839" s="1">
        <f t="shared" ref="J839" si="1157">J835-1</f>
        <v>8</v>
      </c>
      <c r="M839" s="1" t="s">
        <v>2</v>
      </c>
      <c r="N839" s="1" t="s">
        <v>3</v>
      </c>
      <c r="O839" s="1" t="s">
        <v>4</v>
      </c>
      <c r="P839" s="1" t="s">
        <v>5</v>
      </c>
      <c r="S839" s="1">
        <f t="shared" si="1131"/>
        <v>15</v>
      </c>
      <c r="T839" s="1">
        <v>226</v>
      </c>
    </row>
    <row r="840" spans="1:20" x14ac:dyDescent="0.3">
      <c r="A840" s="1">
        <f t="shared" si="1117"/>
        <v>15227</v>
      </c>
      <c r="B840" s="24">
        <v>1000</v>
      </c>
      <c r="C840" s="24">
        <v>1000</v>
      </c>
      <c r="D840" s="21">
        <v>0.2</v>
      </c>
      <c r="E840" s="24">
        <v>2</v>
      </c>
      <c r="F840" s="24">
        <v>1000000</v>
      </c>
      <c r="G840" s="25"/>
      <c r="H840" s="25"/>
      <c r="J840" s="1" t="str">
        <f t="shared" ref="J840" si="1158">CONCATENATE(J839,"1")</f>
        <v>81</v>
      </c>
      <c r="M840" s="1">
        <f t="array" ref="M840:P842">LINEST($B830:$B839,$C830:$C839^{1,2,3},TRUE,TRUE)</f>
        <v>-1.0544364398856731E-9</v>
      </c>
      <c r="N840" s="1">
        <v>2.1388838047328259E-6</v>
      </c>
      <c r="O840" s="1">
        <v>0.99885476002645024</v>
      </c>
      <c r="P840" s="1">
        <v>6.1037386334444277E-2</v>
      </c>
      <c r="S840" s="1">
        <f t="shared" si="1131"/>
        <v>15</v>
      </c>
      <c r="T840" s="1">
        <v>227</v>
      </c>
    </row>
    <row r="841" spans="1:20" x14ac:dyDescent="0.3">
      <c r="A841" s="1">
        <f t="shared" si="1117"/>
        <v>15228</v>
      </c>
      <c r="B841" s="24">
        <v>1050</v>
      </c>
      <c r="C841" s="24">
        <v>1050</v>
      </c>
      <c r="D841" s="21">
        <v>0.2</v>
      </c>
      <c r="E841" s="24">
        <v>2</v>
      </c>
      <c r="F841" s="24">
        <v>1000000</v>
      </c>
      <c r="G841" s="25"/>
      <c r="H841" s="25"/>
      <c r="J841" s="1" t="str">
        <f t="shared" ref="J841" si="1159">CONCATENATE(J839,"2")</f>
        <v>82</v>
      </c>
      <c r="M841" s="1">
        <v>6.349503298310713E-9</v>
      </c>
      <c r="N841" s="1">
        <v>1.3840697240083086E-5</v>
      </c>
      <c r="O841" s="1">
        <v>9.857464147317108E-3</v>
      </c>
      <c r="P841" s="1">
        <v>2.2905328211603191</v>
      </c>
      <c r="S841" s="1">
        <f t="shared" si="1131"/>
        <v>15</v>
      </c>
      <c r="T841" s="1">
        <v>228</v>
      </c>
    </row>
    <row r="842" spans="1:20" x14ac:dyDescent="0.3">
      <c r="A842" s="1">
        <f t="shared" si="1117"/>
        <v>15229</v>
      </c>
      <c r="B842" s="24">
        <v>1100</v>
      </c>
      <c r="C842" s="24">
        <v>1100</v>
      </c>
      <c r="D842" s="21">
        <v>0.2</v>
      </c>
      <c r="E842" s="24">
        <v>2</v>
      </c>
      <c r="F842" s="24">
        <v>1000000</v>
      </c>
      <c r="G842" s="25"/>
      <c r="H842" s="25"/>
      <c r="J842" s="1" t="str">
        <f t="shared" ref="J842" si="1160">CONCATENATE(J839,"3")</f>
        <v>83</v>
      </c>
      <c r="M842" s="1">
        <v>0.99999994414866722</v>
      </c>
      <c r="N842" s="1">
        <v>4.3779970206982127E-2</v>
      </c>
      <c r="O842" s="1" t="e">
        <v>#N/A</v>
      </c>
      <c r="P842" s="1" t="e">
        <v>#N/A</v>
      </c>
      <c r="S842" s="1">
        <f t="shared" si="1131"/>
        <v>15</v>
      </c>
      <c r="T842" s="1">
        <v>229</v>
      </c>
    </row>
    <row r="843" spans="1:20" x14ac:dyDescent="0.3">
      <c r="A843" s="1">
        <f t="shared" si="1117"/>
        <v>15230</v>
      </c>
      <c r="B843" s="24"/>
      <c r="C843" s="24"/>
      <c r="D843" s="24"/>
      <c r="E843" s="24"/>
      <c r="F843" s="24"/>
      <c r="G843" s="25"/>
      <c r="H843" s="25"/>
      <c r="J843" s="1">
        <f t="shared" ref="J843" si="1161">J839-1</f>
        <v>7</v>
      </c>
      <c r="M843" s="1" t="s">
        <v>2</v>
      </c>
      <c r="N843" s="1" t="s">
        <v>3</v>
      </c>
      <c r="O843" s="1" t="s">
        <v>4</v>
      </c>
      <c r="P843" s="1" t="s">
        <v>5</v>
      </c>
      <c r="S843" s="1">
        <f t="shared" si="1131"/>
        <v>15</v>
      </c>
      <c r="T843" s="1">
        <v>230</v>
      </c>
    </row>
    <row r="844" spans="1:20" x14ac:dyDescent="0.3">
      <c r="A844" s="1">
        <f t="shared" si="1117"/>
        <v>15231</v>
      </c>
      <c r="B844" s="24"/>
      <c r="C844" s="24"/>
      <c r="D844" s="24"/>
      <c r="E844" s="24"/>
      <c r="F844" s="24"/>
      <c r="G844" s="25"/>
      <c r="H844" s="25"/>
      <c r="J844" s="1" t="str">
        <f t="shared" ref="J844" si="1162">CONCATENATE(J843,"1")</f>
        <v>71</v>
      </c>
      <c r="M844" s="1">
        <f t="array" ref="M844:P846">LINEST($B830:$B838,$C830:$C838^{1,2,3},TRUE,TRUE)</f>
        <v>-1.2962225248430051E-9</v>
      </c>
      <c r="N844" s="1">
        <v>2.631531582700609E-6</v>
      </c>
      <c r="O844" s="1">
        <v>0.99852651137042014</v>
      </c>
      <c r="P844" s="1">
        <v>0.1325285351992751</v>
      </c>
      <c r="S844" s="1">
        <f t="shared" si="1131"/>
        <v>15</v>
      </c>
      <c r="T844" s="1">
        <v>231</v>
      </c>
    </row>
    <row r="845" spans="1:20" x14ac:dyDescent="0.3">
      <c r="A845" s="1">
        <f t="shared" si="1117"/>
        <v>15232</v>
      </c>
      <c r="B845" s="2">
        <f t="shared" ref="B845" si="1163">COUNT(B830:B844)-2</f>
        <v>11</v>
      </c>
      <c r="J845" s="1" t="str">
        <f t="shared" ref="J845" si="1164">CONCATENATE(J843,"2")</f>
        <v>72</v>
      </c>
      <c r="M845" s="1">
        <v>1.0247652307086059E-8</v>
      </c>
      <c r="N845" s="1">
        <v>2.1563738102618118E-5</v>
      </c>
      <c r="O845" s="1">
        <v>1.4865408990446768E-2</v>
      </c>
      <c r="P845" s="1">
        <v>3.3536255714206082</v>
      </c>
      <c r="S845" s="1">
        <f t="shared" si="1131"/>
        <v>15</v>
      </c>
      <c r="T845" s="1">
        <v>232</v>
      </c>
    </row>
    <row r="846" spans="1:20" x14ac:dyDescent="0.3">
      <c r="A846" s="1">
        <f t="shared" si="1117"/>
        <v>15233</v>
      </c>
      <c r="J846" s="1" t="str">
        <f t="shared" ref="J846" si="1165">CONCATENATE(J843,"3")</f>
        <v>73</v>
      </c>
      <c r="M846" s="1">
        <v>0.99999992318493891</v>
      </c>
      <c r="N846" s="1">
        <v>4.7953605692745753E-2</v>
      </c>
      <c r="O846" s="1" t="e">
        <v>#N/A</v>
      </c>
      <c r="P846" s="1" t="e">
        <v>#N/A</v>
      </c>
      <c r="S846" s="1">
        <f t="shared" si="1131"/>
        <v>15</v>
      </c>
      <c r="T846" s="1">
        <v>233</v>
      </c>
    </row>
    <row r="847" spans="1:20" x14ac:dyDescent="0.3">
      <c r="A847" s="1">
        <f t="shared" si="1117"/>
        <v>15234</v>
      </c>
      <c r="B847" s="54" t="s">
        <v>25</v>
      </c>
      <c r="C847" s="54"/>
      <c r="D847" s="54"/>
      <c r="E847" s="54"/>
      <c r="F847" s="54"/>
      <c r="G847" s="54"/>
      <c r="H847" s="54"/>
      <c r="J847" s="1">
        <f t="shared" ref="J847" si="1166">J843-1</f>
        <v>6</v>
      </c>
      <c r="M847" s="1" t="s">
        <v>2</v>
      </c>
      <c r="N847" s="1" t="s">
        <v>3</v>
      </c>
      <c r="O847" s="1" t="s">
        <v>4</v>
      </c>
      <c r="P847" s="1" t="s">
        <v>5</v>
      </c>
      <c r="S847" s="1">
        <f t="shared" si="1131"/>
        <v>15</v>
      </c>
      <c r="T847" s="1">
        <v>234</v>
      </c>
    </row>
    <row r="848" spans="1:20" x14ac:dyDescent="0.3">
      <c r="A848" s="1">
        <f t="shared" si="1117"/>
        <v>15235</v>
      </c>
      <c r="B848" s="56"/>
      <c r="C848" s="56"/>
      <c r="D848" s="56"/>
      <c r="E848" s="56"/>
      <c r="F848" s="56"/>
      <c r="G848" s="56"/>
      <c r="H848" s="56"/>
      <c r="J848" s="1" t="str">
        <f t="shared" ref="J848" si="1167">CONCATENATE(J847,"1")</f>
        <v>61</v>
      </c>
      <c r="M848" s="1">
        <f t="array" ref="M848:P850">LINEST($B830:$B837,$C830:$C837^{1,2,3},TRUE,TRUE)</f>
        <v>-6.0359938415060594E-9</v>
      </c>
      <c r="N848" s="1">
        <v>1.1984364902332747E-5</v>
      </c>
      <c r="O848" s="1">
        <v>0.99247297648051858</v>
      </c>
      <c r="P848" s="1">
        <v>1.4173546111822373</v>
      </c>
      <c r="S848" s="1">
        <f t="shared" si="1131"/>
        <v>15</v>
      </c>
      <c r="T848" s="1">
        <v>235</v>
      </c>
    </row>
    <row r="849" spans="1:20" x14ac:dyDescent="0.3">
      <c r="A849" s="1">
        <f t="shared" si="1117"/>
        <v>15236</v>
      </c>
      <c r="B849" s="56"/>
      <c r="C849" s="56"/>
      <c r="D849" s="56"/>
      <c r="E849" s="56"/>
      <c r="F849" s="56"/>
      <c r="G849" s="56"/>
      <c r="H849" s="56"/>
      <c r="J849" s="1" t="str">
        <f t="shared" ref="J849" si="1168">CONCATENATE(J847,"2")</f>
        <v>62</v>
      </c>
      <c r="M849" s="1">
        <v>1.7498345079731701E-8</v>
      </c>
      <c r="N849" s="1">
        <v>3.5499660097916737E-5</v>
      </c>
      <c r="O849" s="1">
        <v>2.3657324814447052E-2</v>
      </c>
      <c r="P849" s="1">
        <v>5.1747236725866061</v>
      </c>
      <c r="S849" s="1">
        <f t="shared" si="1131"/>
        <v>15</v>
      </c>
      <c r="T849" s="1">
        <v>236</v>
      </c>
    </row>
    <row r="850" spans="1:20" x14ac:dyDescent="0.3">
      <c r="A850" s="1">
        <f t="shared" si="1117"/>
        <v>15237</v>
      </c>
      <c r="J850" s="1" t="str">
        <f t="shared" ref="J850" si="1169">CONCATENATE(J847,"3")</f>
        <v>63</v>
      </c>
      <c r="M850" s="1">
        <v>0.99999989353211838</v>
      </c>
      <c r="N850" s="1">
        <v>5.2791587174696848E-2</v>
      </c>
      <c r="O850" s="1" t="e">
        <v>#N/A</v>
      </c>
      <c r="P850" s="1" t="e">
        <v>#N/A</v>
      </c>
      <c r="S850" s="1">
        <f t="shared" si="1131"/>
        <v>15</v>
      </c>
      <c r="T850" s="1">
        <v>237</v>
      </c>
    </row>
    <row r="851" spans="1:20" ht="15" customHeight="1" x14ac:dyDescent="0.3">
      <c r="A851" s="1">
        <f t="shared" si="1117"/>
        <v>15238</v>
      </c>
      <c r="J851" s="1">
        <f t="shared" ref="J851" si="1170">J847-1</f>
        <v>5</v>
      </c>
      <c r="M851" s="1" t="s">
        <v>2</v>
      </c>
      <c r="N851" s="1" t="s">
        <v>3</v>
      </c>
      <c r="O851" s="1" t="s">
        <v>4</v>
      </c>
      <c r="P851" s="1" t="s">
        <v>5</v>
      </c>
      <c r="S851" s="1">
        <f t="shared" si="1131"/>
        <v>15</v>
      </c>
      <c r="T851" s="1">
        <v>238</v>
      </c>
    </row>
    <row r="852" spans="1:20" x14ac:dyDescent="0.3">
      <c r="A852" s="1">
        <f t="shared" si="1117"/>
        <v>15239</v>
      </c>
      <c r="J852" s="1" t="str">
        <f t="shared" ref="J852" si="1171">CONCATENATE(J851,"1")</f>
        <v>51</v>
      </c>
      <c r="M852" s="1">
        <f t="array" ref="M852:P854">LINEST($B830:$B836,$C830:$C836^{1,2,3},TRUE,TRUE)</f>
        <v>-4.4977646799540876E-8</v>
      </c>
      <c r="N852" s="1">
        <v>8.6322892111109585E-5</v>
      </c>
      <c r="O852" s="1">
        <v>0.94578719232124431</v>
      </c>
      <c r="P852" s="1">
        <v>11.061525137940251</v>
      </c>
      <c r="S852" s="1">
        <f t="shared" si="1131"/>
        <v>15</v>
      </c>
      <c r="T852" s="1">
        <v>239</v>
      </c>
    </row>
    <row r="853" spans="1:20" x14ac:dyDescent="0.3">
      <c r="A853" s="1">
        <f t="shared" si="1117"/>
        <v>15240</v>
      </c>
      <c r="E853" s="26"/>
      <c r="F853" s="26"/>
      <c r="G853" s="26"/>
      <c r="H853" s="26"/>
      <c r="J853" s="1" t="str">
        <f t="shared" ref="J853" si="1172">CONCATENATE(J851,"2")</f>
        <v>52</v>
      </c>
      <c r="M853" s="1">
        <v>1.8243525583300407E-8</v>
      </c>
      <c r="N853" s="1">
        <v>3.563419356562029E-5</v>
      </c>
      <c r="O853" s="1">
        <v>2.2923758592708694E-2</v>
      </c>
      <c r="P853" s="1">
        <v>4.8544720463539468</v>
      </c>
      <c r="S853" s="1">
        <f t="shared" si="1131"/>
        <v>15</v>
      </c>
      <c r="T853" s="1">
        <v>240</v>
      </c>
    </row>
    <row r="854" spans="1:20" x14ac:dyDescent="0.3">
      <c r="A854" s="1">
        <f t="shared" si="1117"/>
        <v>15241</v>
      </c>
      <c r="B854" s="54" t="s">
        <v>90</v>
      </c>
      <c r="C854" s="54"/>
      <c r="D854" s="54"/>
      <c r="E854" s="27">
        <f t="shared" ref="E854" si="1173">IF(D816="","",MAX(E855,E856))</f>
        <v>0.10000000000002274</v>
      </c>
      <c r="F854" s="26"/>
      <c r="G854" s="26"/>
      <c r="H854" s="26"/>
      <c r="J854" s="1" t="str">
        <f t="shared" ref="J854" si="1174">CONCATENATE(J851,"3")</f>
        <v>53</v>
      </c>
      <c r="M854" s="1">
        <v>0.99999995274039533</v>
      </c>
      <c r="N854" s="1">
        <v>3.3143379012634894E-2</v>
      </c>
      <c r="O854" s="1" t="e">
        <v>#N/A</v>
      </c>
      <c r="P854" s="1" t="e">
        <v>#N/A</v>
      </c>
      <c r="S854" s="1">
        <f t="shared" si="1131"/>
        <v>15</v>
      </c>
      <c r="T854" s="1">
        <v>241</v>
      </c>
    </row>
    <row r="855" spans="1:20" x14ac:dyDescent="0.3">
      <c r="A855" s="1">
        <f t="shared" si="1117"/>
        <v>15242</v>
      </c>
      <c r="B855" s="2" t="s">
        <v>26</v>
      </c>
      <c r="C855" s="2" t="s">
        <v>27</v>
      </c>
      <c r="D855" s="2" t="s">
        <v>28</v>
      </c>
      <c r="E855" s="28">
        <f t="shared" ref="E855" si="1175">ABS(MIN(D856:D870))</f>
        <v>0.10000000000002274</v>
      </c>
      <c r="F855" s="26"/>
      <c r="H855" s="26"/>
      <c r="J855" s="1">
        <f t="shared" ref="J855" si="1176">J851-1</f>
        <v>4</v>
      </c>
      <c r="M855" s="1" t="s">
        <v>2</v>
      </c>
      <c r="N855" s="1" t="s">
        <v>3</v>
      </c>
      <c r="O855" s="1" t="s">
        <v>4</v>
      </c>
      <c r="P855" s="1" t="s">
        <v>5</v>
      </c>
      <c r="S855" s="1">
        <f t="shared" si="1131"/>
        <v>15</v>
      </c>
      <c r="T855" s="1">
        <v>242</v>
      </c>
    </row>
    <row r="856" spans="1:20" x14ac:dyDescent="0.3">
      <c r="A856" s="1">
        <f t="shared" si="1117"/>
        <v>15243</v>
      </c>
      <c r="B856" s="2">
        <f t="shared" ref="B856:B870" si="1177">C830-B830</f>
        <v>0.10000000000002274</v>
      </c>
      <c r="C856" s="2">
        <f t="shared" ref="C856:C870" si="1178">H830-G830</f>
        <v>0</v>
      </c>
      <c r="D856" s="2">
        <f t="shared" ref="D856:D870" si="1179">C856-B856</f>
        <v>-0.10000000000002274</v>
      </c>
      <c r="E856" s="28">
        <f t="shared" ref="E856" si="1180">ABS(MAX(D856:D870))</f>
        <v>0</v>
      </c>
      <c r="F856" s="26"/>
      <c r="H856" s="26"/>
      <c r="J856" s="1" t="str">
        <f t="shared" ref="J856" si="1181">CONCATENATE(J855,"1")</f>
        <v>41</v>
      </c>
      <c r="M856" s="1">
        <f t="array" ref="M856:P858">LINEST($B830:$B835,$C830:$C835^{1,2,3},TRUE,TRUE)</f>
        <v>-1.5294340778242798E-8</v>
      </c>
      <c r="N856" s="1">
        <v>3.1568046658884208E-5</v>
      </c>
      <c r="O856" s="1">
        <v>0.97911086395657709</v>
      </c>
      <c r="P856" s="1">
        <v>4.3707942316369639</v>
      </c>
      <c r="S856" s="1">
        <f t="shared" si="1131"/>
        <v>15</v>
      </c>
      <c r="T856" s="1">
        <v>243</v>
      </c>
    </row>
    <row r="857" spans="1:20" x14ac:dyDescent="0.3">
      <c r="A857" s="1">
        <f t="shared" si="1117"/>
        <v>15244</v>
      </c>
      <c r="B857" s="2">
        <f t="shared" si="1177"/>
        <v>0.10000000000002274</v>
      </c>
      <c r="C857" s="2">
        <f t="shared" si="1178"/>
        <v>0</v>
      </c>
      <c r="D857" s="2">
        <f t="shared" si="1179"/>
        <v>-0.10000000000002274</v>
      </c>
      <c r="E857" s="29" t="s">
        <v>32</v>
      </c>
      <c r="F857" s="26"/>
      <c r="H857" s="26"/>
      <c r="J857" s="1" t="str">
        <f t="shared" ref="J857" si="1182">CONCATENATE(J855,"2")</f>
        <v>42</v>
      </c>
      <c r="M857" s="1">
        <v>3.2264590877996442E-8</v>
      </c>
      <c r="N857" s="1">
        <v>6.0585590277107666E-5</v>
      </c>
      <c r="O857" s="1">
        <v>3.7565560180903852E-2</v>
      </c>
      <c r="P857" s="1">
        <v>7.6886710144431687</v>
      </c>
      <c r="S857" s="1">
        <f t="shared" si="1131"/>
        <v>15</v>
      </c>
      <c r="T857" s="1">
        <v>244</v>
      </c>
    </row>
    <row r="858" spans="1:20" x14ac:dyDescent="0.3">
      <c r="A858" s="1">
        <f t="shared" si="1117"/>
        <v>15245</v>
      </c>
      <c r="B858" s="2">
        <f t="shared" si="1177"/>
        <v>0.10000000000002274</v>
      </c>
      <c r="C858" s="2">
        <f t="shared" si="1178"/>
        <v>0</v>
      </c>
      <c r="D858" s="2">
        <f t="shared" si="1179"/>
        <v>-0.10000000000002274</v>
      </c>
      <c r="E858" s="27">
        <f t="shared" ref="E858" si="1183">IF(D816="","",MAX(E859,E860))</f>
        <v>0.10000000000002274</v>
      </c>
      <c r="F858" s="26"/>
      <c r="H858" s="26"/>
      <c r="J858" s="1" t="str">
        <f t="shared" ref="J858" si="1184">CONCATENATE(J855,"3")</f>
        <v>43</v>
      </c>
      <c r="M858" s="1">
        <v>0.99999995280609588</v>
      </c>
      <c r="N858" s="1">
        <v>3.2053544244208282E-2</v>
      </c>
      <c r="O858" s="1" t="e">
        <v>#N/A</v>
      </c>
      <c r="P858" s="1" t="e">
        <v>#N/A</v>
      </c>
      <c r="S858" s="1">
        <f t="shared" si="1131"/>
        <v>15</v>
      </c>
      <c r="T858" s="1">
        <v>245</v>
      </c>
    </row>
    <row r="859" spans="1:20" x14ac:dyDescent="0.3">
      <c r="A859" s="1">
        <f t="shared" si="1117"/>
        <v>15246</v>
      </c>
      <c r="B859" s="2">
        <f t="shared" si="1177"/>
        <v>0.10000000000002274</v>
      </c>
      <c r="C859" s="2">
        <f t="shared" si="1178"/>
        <v>0</v>
      </c>
      <c r="D859" s="2">
        <f t="shared" si="1179"/>
        <v>-0.10000000000002274</v>
      </c>
      <c r="E859" s="28">
        <f t="shared" ref="E859" si="1185">ABS(MIN(B856:B870))</f>
        <v>0</v>
      </c>
      <c r="F859" s="26"/>
      <c r="H859" s="26"/>
      <c r="J859" s="1">
        <f t="shared" ref="J859" si="1186">J855-1</f>
        <v>3</v>
      </c>
      <c r="M859" s="1" t="s">
        <v>2</v>
      </c>
      <c r="N859" s="1" t="s">
        <v>3</v>
      </c>
      <c r="O859" s="1" t="s">
        <v>4</v>
      </c>
      <c r="P859" s="1" t="s">
        <v>5</v>
      </c>
      <c r="S859" s="1">
        <f t="shared" si="1131"/>
        <v>15</v>
      </c>
      <c r="T859" s="1">
        <v>246</v>
      </c>
    </row>
    <row r="860" spans="1:20" x14ac:dyDescent="0.3">
      <c r="A860" s="1">
        <f t="shared" si="1117"/>
        <v>15247</v>
      </c>
      <c r="B860" s="2">
        <f t="shared" si="1177"/>
        <v>0</v>
      </c>
      <c r="C860" s="2">
        <f t="shared" si="1178"/>
        <v>0</v>
      </c>
      <c r="D860" s="2">
        <f t="shared" si="1179"/>
        <v>0</v>
      </c>
      <c r="E860" s="28">
        <f t="shared" ref="E860" si="1187">ABS(MAX(B856:B870))</f>
        <v>0.10000000000002274</v>
      </c>
      <c r="F860" s="26"/>
      <c r="H860" s="26"/>
      <c r="J860" s="1" t="str">
        <f t="shared" ref="J860" si="1188">CONCATENATE(J859,"1")</f>
        <v>31</v>
      </c>
      <c r="M860" s="1">
        <f t="array" ref="M860:P862">LINEST($B830:$B834,$C830:$C834^{1,2,3},TRUE,TRUE)</f>
        <v>6.7271442095519412E-8</v>
      </c>
      <c r="N860" s="1">
        <v>-1.154176668019233E-4</v>
      </c>
      <c r="O860" s="1">
        <v>1.0656790961798501</v>
      </c>
      <c r="P860" s="1">
        <v>-12.49622391024343</v>
      </c>
      <c r="S860" s="1">
        <f t="shared" si="1131"/>
        <v>15</v>
      </c>
      <c r="T860" s="1">
        <v>247</v>
      </c>
    </row>
    <row r="861" spans="1:20" x14ac:dyDescent="0.3">
      <c r="A861" s="1">
        <f t="shared" si="1117"/>
        <v>15248</v>
      </c>
      <c r="B861" s="2">
        <f t="shared" si="1177"/>
        <v>0</v>
      </c>
      <c r="C861" s="2">
        <f t="shared" si="1178"/>
        <v>0</v>
      </c>
      <c r="D861" s="2">
        <f t="shared" si="1179"/>
        <v>0</v>
      </c>
      <c r="E861" s="29" t="s">
        <v>33</v>
      </c>
      <c r="F861" s="26"/>
      <c r="J861" s="1" t="str">
        <f t="shared" ref="J861" si="1189">CONCATENATE(J859,"2")</f>
        <v>32</v>
      </c>
      <c r="M861" s="1">
        <v>2.5386242155589733E-8</v>
      </c>
      <c r="N861" s="1">
        <v>4.5753235554197804E-5</v>
      </c>
      <c r="O861" s="1">
        <v>2.7295360878809474E-2</v>
      </c>
      <c r="P861" s="1">
        <v>5.3892314407674933</v>
      </c>
      <c r="S861" s="1">
        <f t="shared" si="1131"/>
        <v>15</v>
      </c>
      <c r="T861" s="1">
        <v>248</v>
      </c>
    </row>
    <row r="862" spans="1:20" x14ac:dyDescent="0.3">
      <c r="A862" s="1">
        <f t="shared" si="1117"/>
        <v>15249</v>
      </c>
      <c r="B862" s="2">
        <f t="shared" si="1177"/>
        <v>0.10000000000002274</v>
      </c>
      <c r="C862" s="2">
        <f t="shared" si="1178"/>
        <v>0</v>
      </c>
      <c r="D862" s="2">
        <f t="shared" si="1179"/>
        <v>-0.10000000000002274</v>
      </c>
      <c r="E862" s="27">
        <f t="shared" ref="E862" si="1190">IF(D816="","",MAX(E863,E864))</f>
        <v>0.2</v>
      </c>
      <c r="F862" s="26"/>
      <c r="J862" s="1" t="str">
        <f t="shared" ref="J862" si="1191">CONCATENATE(J859,"3")</f>
        <v>33</v>
      </c>
      <c r="M862" s="1">
        <v>0.9999999943245973</v>
      </c>
      <c r="N862" s="1">
        <v>1.1868776379939439E-2</v>
      </c>
      <c r="O862" s="1" t="e">
        <v>#N/A</v>
      </c>
      <c r="P862" s="1" t="e">
        <v>#N/A</v>
      </c>
      <c r="S862" s="1">
        <f t="shared" si="1131"/>
        <v>15</v>
      </c>
      <c r="T862" s="1">
        <v>249</v>
      </c>
    </row>
    <row r="863" spans="1:20" x14ac:dyDescent="0.3">
      <c r="A863" s="1">
        <f t="shared" si="1117"/>
        <v>15250</v>
      </c>
      <c r="B863" s="2">
        <f t="shared" si="1177"/>
        <v>0</v>
      </c>
      <c r="C863" s="2">
        <f t="shared" si="1178"/>
        <v>0</v>
      </c>
      <c r="D863" s="2">
        <f t="shared" si="1179"/>
        <v>0</v>
      </c>
      <c r="E863" s="28">
        <f t="shared" ref="E863" si="1192">ABS(MIN(D830:D844))</f>
        <v>0.2</v>
      </c>
      <c r="F863" s="26"/>
      <c r="J863" s="1">
        <f t="shared" ref="J863" si="1193">J859-1</f>
        <v>2</v>
      </c>
      <c r="N863" s="1" t="s">
        <v>3</v>
      </c>
      <c r="O863" s="1" t="s">
        <v>4</v>
      </c>
      <c r="P863" s="1" t="s">
        <v>5</v>
      </c>
      <c r="S863" s="1">
        <f t="shared" si="1131"/>
        <v>15</v>
      </c>
      <c r="T863" s="1">
        <v>250</v>
      </c>
    </row>
    <row r="864" spans="1:20" x14ac:dyDescent="0.3">
      <c r="A864" s="1">
        <f t="shared" si="1117"/>
        <v>15251</v>
      </c>
      <c r="B864" s="2">
        <f t="shared" si="1177"/>
        <v>0</v>
      </c>
      <c r="C864" s="2">
        <f t="shared" si="1178"/>
        <v>0</v>
      </c>
      <c r="D864" s="2">
        <f t="shared" si="1179"/>
        <v>0</v>
      </c>
      <c r="E864" s="28">
        <f t="shared" ref="E864" si="1194">ABS(MAX(D830:D844))</f>
        <v>0.2</v>
      </c>
      <c r="F864" s="26"/>
      <c r="J864" s="1" t="str">
        <f t="shared" ref="J864" si="1195">CONCATENATE(J863,"1")</f>
        <v>21</v>
      </c>
      <c r="N864" s="1">
        <f t="array" ref="N864:P866">LINEST($B830:$B833,$C830:$C833^{1,2},TRUE,TRUE)</f>
        <v>0</v>
      </c>
      <c r="O864" s="1">
        <v>1</v>
      </c>
      <c r="P864" s="1">
        <v>-0.10000000000002274</v>
      </c>
      <c r="S864" s="1">
        <f t="shared" si="1131"/>
        <v>15</v>
      </c>
      <c r="T864" s="1">
        <v>251</v>
      </c>
    </row>
    <row r="865" spans="1:20" x14ac:dyDescent="0.3">
      <c r="A865" s="1">
        <f t="shared" si="1117"/>
        <v>15252</v>
      </c>
      <c r="B865" s="2">
        <f t="shared" si="1177"/>
        <v>0</v>
      </c>
      <c r="C865" s="2">
        <f t="shared" si="1178"/>
        <v>0</v>
      </c>
      <c r="D865" s="2">
        <f t="shared" si="1179"/>
        <v>0</v>
      </c>
      <c r="E865" s="26"/>
      <c r="F865" s="26"/>
      <c r="J865" s="1" t="str">
        <f t="shared" ref="J865" si="1196">CONCATENATE(J863,"2")</f>
        <v>22</v>
      </c>
      <c r="N865" s="1">
        <v>0</v>
      </c>
      <c r="O865" s="1">
        <v>0</v>
      </c>
      <c r="P865" s="1">
        <v>0</v>
      </c>
      <c r="S865" s="1">
        <f t="shared" si="1131"/>
        <v>15</v>
      </c>
      <c r="T865" s="1">
        <v>252</v>
      </c>
    </row>
    <row r="866" spans="1:20" x14ac:dyDescent="0.3">
      <c r="A866" s="1">
        <f t="shared" si="1117"/>
        <v>15253</v>
      </c>
      <c r="B866" s="2">
        <f t="shared" si="1177"/>
        <v>0</v>
      </c>
      <c r="C866" s="2">
        <f t="shared" si="1178"/>
        <v>0</v>
      </c>
      <c r="D866" s="2">
        <f t="shared" si="1179"/>
        <v>0</v>
      </c>
      <c r="E866" s="26"/>
      <c r="F866" s="26"/>
      <c r="J866" s="1" t="str">
        <f t="shared" ref="J866" si="1197">CONCATENATE(J863,"3")</f>
        <v>23</v>
      </c>
      <c r="N866" s="1">
        <v>1</v>
      </c>
      <c r="O866" s="1">
        <v>0</v>
      </c>
      <c r="P866" s="1" t="e">
        <v>#N/A</v>
      </c>
      <c r="S866" s="1">
        <f t="shared" si="1131"/>
        <v>15</v>
      </c>
      <c r="T866" s="1">
        <v>253</v>
      </c>
    </row>
    <row r="867" spans="1:20" x14ac:dyDescent="0.3">
      <c r="A867" s="1">
        <f t="shared" si="1117"/>
        <v>15254</v>
      </c>
      <c r="B867" s="2">
        <f t="shared" si="1177"/>
        <v>0</v>
      </c>
      <c r="C867" s="2">
        <f t="shared" si="1178"/>
        <v>0</v>
      </c>
      <c r="D867" s="2">
        <f t="shared" si="1179"/>
        <v>0</v>
      </c>
      <c r="E867" s="26"/>
      <c r="F867" s="26"/>
      <c r="J867" s="1">
        <f t="shared" ref="J867" si="1198">J863-1</f>
        <v>1</v>
      </c>
      <c r="O867" s="1" t="s">
        <v>4</v>
      </c>
      <c r="P867" s="1" t="s">
        <v>5</v>
      </c>
      <c r="S867" s="1">
        <f t="shared" si="1131"/>
        <v>15</v>
      </c>
      <c r="T867" s="1">
        <v>254</v>
      </c>
    </row>
    <row r="868" spans="1:20" x14ac:dyDescent="0.3">
      <c r="A868" s="1">
        <f t="shared" si="1117"/>
        <v>15255</v>
      </c>
      <c r="B868" s="2">
        <f t="shared" si="1177"/>
        <v>0</v>
      </c>
      <c r="C868" s="2">
        <f t="shared" si="1178"/>
        <v>0</v>
      </c>
      <c r="D868" s="2">
        <f t="shared" si="1179"/>
        <v>0</v>
      </c>
      <c r="E868" s="26"/>
      <c r="F868" s="26"/>
      <c r="J868" s="1" t="str">
        <f t="shared" ref="J868" si="1199">CONCATENATE(J867,"1")</f>
        <v>11</v>
      </c>
      <c r="O868" s="1">
        <f t="array" ref="O868:P870">LINEST($B830:$B832,$C830:$C832^{1},TRUE,TRUE)</f>
        <v>1</v>
      </c>
      <c r="P868" s="1">
        <v>-0.10000000000013642</v>
      </c>
      <c r="S868" s="1">
        <f t="shared" si="1131"/>
        <v>15</v>
      </c>
      <c r="T868" s="1">
        <v>255</v>
      </c>
    </row>
    <row r="869" spans="1:20" x14ac:dyDescent="0.3">
      <c r="A869" s="1">
        <f t="shared" si="1117"/>
        <v>15256</v>
      </c>
      <c r="B869" s="2">
        <f t="shared" si="1177"/>
        <v>0</v>
      </c>
      <c r="C869" s="2">
        <f t="shared" si="1178"/>
        <v>0</v>
      </c>
      <c r="D869" s="2">
        <f t="shared" si="1179"/>
        <v>0</v>
      </c>
      <c r="E869" s="26"/>
      <c r="F869" s="26"/>
      <c r="J869" s="1" t="str">
        <f t="shared" ref="J869" si="1200">CONCATENATE(J867,"2")</f>
        <v>12</v>
      </c>
      <c r="O869" s="1">
        <v>2.0299840127179503E-16</v>
      </c>
      <c r="P869" s="1">
        <v>1.1201766195972605E-13</v>
      </c>
      <c r="S869" s="1">
        <f t="shared" si="1131"/>
        <v>15</v>
      </c>
      <c r="T869" s="1">
        <v>256</v>
      </c>
    </row>
    <row r="870" spans="1:20" x14ac:dyDescent="0.3">
      <c r="A870" s="1">
        <f t="shared" si="1117"/>
        <v>15257</v>
      </c>
      <c r="B870" s="2">
        <f t="shared" si="1177"/>
        <v>0</v>
      </c>
      <c r="C870" s="2">
        <f t="shared" si="1178"/>
        <v>0</v>
      </c>
      <c r="D870" s="2">
        <f t="shared" si="1179"/>
        <v>0</v>
      </c>
      <c r="E870" s="30"/>
      <c r="F870" s="30"/>
      <c r="J870" s="1" t="str">
        <f t="shared" ref="J870" si="1201">CONCATENATE(J867,"3")</f>
        <v>13</v>
      </c>
      <c r="O870" s="1">
        <v>1</v>
      </c>
      <c r="P870" s="1">
        <v>1.4210854715202004E-14</v>
      </c>
      <c r="S870" s="1">
        <f t="shared" si="1131"/>
        <v>15</v>
      </c>
      <c r="T870" s="1">
        <v>257</v>
      </c>
    </row>
    <row r="871" spans="1:20" s="8" customFormat="1" x14ac:dyDescent="0.3"/>
    <row r="872" spans="1:20" x14ac:dyDescent="0.3">
      <c r="A872" s="1">
        <f t="shared" ref="A872:A928" si="1202">ROUND(CONCATENATE(S872,T872),0)</f>
        <v>16201</v>
      </c>
      <c r="B872" s="57" t="s">
        <v>0</v>
      </c>
      <c r="C872" s="57"/>
      <c r="D872" s="56"/>
      <c r="E872" s="56"/>
      <c r="F872" s="56"/>
      <c r="G872" s="56"/>
      <c r="H872" s="56"/>
      <c r="L872" s="1">
        <v>1</v>
      </c>
      <c r="M872" s="1">
        <v>2</v>
      </c>
      <c r="N872" s="1">
        <v>3</v>
      </c>
      <c r="O872" s="1">
        <v>4</v>
      </c>
      <c r="P872" s="1">
        <v>5</v>
      </c>
      <c r="Q872" s="1">
        <v>6</v>
      </c>
      <c r="R872" s="1">
        <v>7</v>
      </c>
      <c r="S872" s="1">
        <f t="shared" ref="S872" si="1203">S870+1</f>
        <v>16</v>
      </c>
      <c r="T872" s="1">
        <v>201</v>
      </c>
    </row>
    <row r="873" spans="1:20" x14ac:dyDescent="0.3">
      <c r="A873" s="1">
        <f t="shared" si="1202"/>
        <v>16202</v>
      </c>
      <c r="B873" s="57"/>
      <c r="C873" s="57"/>
      <c r="D873" s="57"/>
      <c r="E873" s="57"/>
      <c r="F873" s="57"/>
      <c r="G873" s="57"/>
      <c r="H873" s="57"/>
      <c r="K873" s="2" t="s">
        <v>1</v>
      </c>
      <c r="L873" s="2"/>
      <c r="M873" s="2" t="s">
        <v>2</v>
      </c>
      <c r="N873" s="2" t="s">
        <v>3</v>
      </c>
      <c r="O873" s="2" t="s">
        <v>4</v>
      </c>
      <c r="P873" s="2" t="s">
        <v>5</v>
      </c>
      <c r="S873" s="1">
        <f t="shared" ref="S873" si="1204">S872</f>
        <v>16</v>
      </c>
      <c r="T873" s="1">
        <v>202</v>
      </c>
    </row>
    <row r="874" spans="1:20" x14ac:dyDescent="0.3">
      <c r="A874" s="1">
        <f t="shared" si="1202"/>
        <v>16203</v>
      </c>
      <c r="B874" s="64" t="s">
        <v>6</v>
      </c>
      <c r="C874" s="64"/>
      <c r="D874" s="56"/>
      <c r="E874" s="56"/>
      <c r="F874" s="56"/>
      <c r="G874" s="56"/>
      <c r="H874" s="56"/>
      <c r="K874" s="3">
        <f t="shared" ref="K874" ca="1" si="1205">IF(K876&gt;=3,N876,LOOKUP(15-($B903+1),M872:R872,M876:P876))</f>
        <v>0</v>
      </c>
      <c r="L874" s="2" t="str">
        <f t="shared" ref="L874" si="1206">CONCATENATE($B903,"1")</f>
        <v>-21</v>
      </c>
      <c r="M874" s="2" t="e">
        <f t="shared" ref="M874" si="1207">VLOOKUP(L874,J877:P928,O872,FALSE)</f>
        <v>#N/A</v>
      </c>
      <c r="N874" s="2" t="e">
        <f t="shared" ref="N874" si="1208">VLOOKUP(L874,J877:P928,P872,FALSE)</f>
        <v>#N/A</v>
      </c>
      <c r="O874" s="2" t="e">
        <f t="shared" ref="O874" si="1209">VLOOKUP(L874,J877:P928,Q872,FALSE)</f>
        <v>#N/A</v>
      </c>
      <c r="P874" s="2" t="e">
        <f t="shared" ref="P874" si="1210">VLOOKUP(L874,J877:P928,R872,FALSE)</f>
        <v>#N/A</v>
      </c>
      <c r="S874" s="1">
        <f t="shared" si="1131"/>
        <v>16</v>
      </c>
      <c r="T874" s="1">
        <v>203</v>
      </c>
    </row>
    <row r="875" spans="1:20" x14ac:dyDescent="0.3">
      <c r="A875" s="1">
        <f t="shared" si="1202"/>
        <v>16204</v>
      </c>
      <c r="B875" s="57" t="s">
        <v>7</v>
      </c>
      <c r="C875" s="57"/>
      <c r="D875" s="56"/>
      <c r="E875" s="56"/>
      <c r="F875" s="56"/>
      <c r="G875" s="56"/>
      <c r="H875" s="56"/>
      <c r="K875" s="2" t="s">
        <v>8</v>
      </c>
      <c r="L875" s="2" t="str">
        <f t="shared" ref="L875" si="1211">CONCATENATE($B903,"2")</f>
        <v>-22</v>
      </c>
      <c r="M875" s="2" t="e">
        <f t="shared" ref="M875" si="1212">VLOOKUP(L875,J877:P928,O872,FALSE)</f>
        <v>#N/A</v>
      </c>
      <c r="N875" s="2" t="e">
        <f t="shared" ref="N875" si="1213">VLOOKUP(L875,J877:P928,P872,FALSE)</f>
        <v>#N/A</v>
      </c>
      <c r="O875" s="2" t="e">
        <f t="shared" ref="O875" si="1214">VLOOKUP(L875,J877:P928,Q872,FALSE)</f>
        <v>#N/A</v>
      </c>
      <c r="P875" s="2" t="e">
        <f t="shared" ref="P875" si="1215">VLOOKUP(L875,J877:P928,R872,FALSE)</f>
        <v>#N/A</v>
      </c>
      <c r="S875" s="1">
        <f t="shared" si="1131"/>
        <v>16</v>
      </c>
      <c r="T875" s="1">
        <v>204</v>
      </c>
    </row>
    <row r="876" spans="1:20" x14ac:dyDescent="0.3">
      <c r="A876" s="1">
        <f t="shared" si="1202"/>
        <v>16205</v>
      </c>
      <c r="B876" s="57" t="s">
        <v>9</v>
      </c>
      <c r="C876" s="57"/>
      <c r="D876" s="56"/>
      <c r="E876" s="56"/>
      <c r="F876" s="56"/>
      <c r="G876" s="56"/>
      <c r="H876" s="56"/>
      <c r="K876" s="3">
        <f t="shared" ref="K876" si="1216">IF(B903&gt;3,3,B903)</f>
        <v>-2</v>
      </c>
      <c r="L876" s="2" t="str">
        <f t="shared" ref="L876" si="1217">CONCATENATE($B903,"3")</f>
        <v>-23</v>
      </c>
      <c r="M876" s="2" t="e">
        <f t="shared" ref="M876" si="1218">VLOOKUP(L876,J877:P928,O872,FALSE)</f>
        <v>#N/A</v>
      </c>
      <c r="N876" s="2" t="e">
        <f t="shared" ref="N876" si="1219">VLOOKUP(L876,J877:P928,P872,FALSE)</f>
        <v>#N/A</v>
      </c>
      <c r="O876" s="2" t="e">
        <f t="shared" ref="O876" si="1220">VLOOKUP(L876,J877:P928,Q872,FALSE)</f>
        <v>#N/A</v>
      </c>
      <c r="P876" s="2" t="e">
        <f t="shared" ref="P876" si="1221">VLOOKUP(L876,J877:P928,R872,FALSE)</f>
        <v>#N/A</v>
      </c>
      <c r="S876" s="1">
        <f t="shared" si="1131"/>
        <v>16</v>
      </c>
      <c r="T876" s="1">
        <v>205</v>
      </c>
    </row>
    <row r="877" spans="1:20" x14ac:dyDescent="0.3">
      <c r="A877" s="1">
        <f t="shared" si="1202"/>
        <v>16206</v>
      </c>
      <c r="B877" s="57" t="s">
        <v>10</v>
      </c>
      <c r="C877" s="57"/>
      <c r="D877" s="62"/>
      <c r="E877" s="56"/>
      <c r="F877" s="56"/>
      <c r="G877" s="56"/>
      <c r="H877" s="56"/>
      <c r="J877" s="1">
        <v>13</v>
      </c>
      <c r="M877" s="1" t="s">
        <v>2</v>
      </c>
      <c r="N877" s="1" t="s">
        <v>3</v>
      </c>
      <c r="O877" s="1" t="s">
        <v>4</v>
      </c>
      <c r="P877" s="1" t="s">
        <v>5</v>
      </c>
      <c r="S877" s="1">
        <f t="shared" si="1131"/>
        <v>16</v>
      </c>
      <c r="T877" s="1">
        <v>206</v>
      </c>
    </row>
    <row r="878" spans="1:20" x14ac:dyDescent="0.3">
      <c r="A878" s="1">
        <f t="shared" si="1202"/>
        <v>16207</v>
      </c>
      <c r="B878" s="57" t="s">
        <v>11</v>
      </c>
      <c r="C878" s="57"/>
      <c r="D878" s="63"/>
      <c r="E878" s="63"/>
      <c r="F878" s="63"/>
      <c r="G878" s="63"/>
      <c r="H878" s="63"/>
      <c r="J878" s="1" t="str">
        <f t="shared" ref="J878" si="1222">CONCATENATE(J877,"1")</f>
        <v>131</v>
      </c>
      <c r="M878" s="1" t="e">
        <f t="array" ref="M878:P880">LINEST($B888:$B902,$C888:$C902^{1,2,3},TRUE,TRUE)</f>
        <v>#VALUE!</v>
      </c>
      <c r="N878" s="1" t="e">
        <v>#VALUE!</v>
      </c>
      <c r="O878" s="1" t="e">
        <v>#VALUE!</v>
      </c>
      <c r="P878" s="1" t="e">
        <v>#VALUE!</v>
      </c>
      <c r="S878" s="1">
        <f t="shared" si="1131"/>
        <v>16</v>
      </c>
      <c r="T878" s="1">
        <v>207</v>
      </c>
    </row>
    <row r="879" spans="1:20" x14ac:dyDescent="0.3">
      <c r="A879" s="1">
        <f t="shared" si="1202"/>
        <v>16208</v>
      </c>
      <c r="B879" s="57" t="s">
        <v>12</v>
      </c>
      <c r="C879" s="57"/>
      <c r="D879" s="58"/>
      <c r="E879" s="58"/>
      <c r="F879" s="58"/>
      <c r="G879" s="58"/>
      <c r="H879" s="58"/>
      <c r="J879" s="1" t="str">
        <f t="shared" ref="J879" si="1223">CONCATENATE(J877,"2")</f>
        <v>132</v>
      </c>
      <c r="M879" s="1" t="e">
        <v>#VALUE!</v>
      </c>
      <c r="N879" s="1" t="e">
        <v>#VALUE!</v>
      </c>
      <c r="O879" s="1" t="e">
        <v>#VALUE!</v>
      </c>
      <c r="P879" s="1" t="e">
        <v>#VALUE!</v>
      </c>
      <c r="S879" s="1">
        <f t="shared" si="1131"/>
        <v>16</v>
      </c>
      <c r="T879" s="1">
        <v>208</v>
      </c>
    </row>
    <row r="880" spans="1:20" x14ac:dyDescent="0.3">
      <c r="A880" s="1">
        <f t="shared" si="1202"/>
        <v>16209</v>
      </c>
      <c r="B880" s="57" t="s">
        <v>13</v>
      </c>
      <c r="C880" s="57"/>
      <c r="D880" s="9"/>
      <c r="E880" s="54" t="s">
        <v>14</v>
      </c>
      <c r="F880" s="54"/>
      <c r="G880" s="54"/>
      <c r="H880" s="9"/>
      <c r="J880" s="1" t="str">
        <f t="shared" ref="J880" si="1224">CONCATENATE(J877,"3")</f>
        <v>133</v>
      </c>
      <c r="M880" s="1" t="e">
        <v>#VALUE!</v>
      </c>
      <c r="N880" s="1" t="e">
        <v>#VALUE!</v>
      </c>
      <c r="O880" s="1" t="e">
        <v>#VALUE!</v>
      </c>
      <c r="P880" s="1" t="e">
        <v>#VALUE!</v>
      </c>
      <c r="S880" s="1">
        <f t="shared" si="1131"/>
        <v>16</v>
      </c>
      <c r="T880" s="1">
        <v>209</v>
      </c>
    </row>
    <row r="881" spans="1:20" x14ac:dyDescent="0.3">
      <c r="A881" s="1">
        <f t="shared" si="1202"/>
        <v>16210</v>
      </c>
      <c r="B881" s="57" t="s">
        <v>15</v>
      </c>
      <c r="C881" s="57"/>
      <c r="D881" s="2">
        <f t="shared" ref="D881" si="1225">MIN(B888:B902)</f>
        <v>0</v>
      </c>
      <c r="E881" s="4" t="s">
        <v>16</v>
      </c>
      <c r="F881" s="2">
        <f t="shared" ref="F881" si="1226">MAX(B888:B902)</f>
        <v>0</v>
      </c>
      <c r="G881" s="5" t="str">
        <f t="shared" ref="G881" si="1227">IF(H880="","",H880)</f>
        <v/>
      </c>
      <c r="H881" s="23"/>
      <c r="J881" s="1">
        <f t="shared" ref="J881" si="1228">J877-1</f>
        <v>12</v>
      </c>
      <c r="M881" s="1" t="s">
        <v>2</v>
      </c>
      <c r="N881" s="1" t="s">
        <v>3</v>
      </c>
      <c r="O881" s="1" t="s">
        <v>4</v>
      </c>
      <c r="P881" s="1" t="s">
        <v>5</v>
      </c>
      <c r="S881" s="1">
        <f t="shared" ref="S881:S944" si="1229">S880</f>
        <v>16</v>
      </c>
      <c r="T881" s="1">
        <v>210</v>
      </c>
    </row>
    <row r="882" spans="1:20" x14ac:dyDescent="0.3">
      <c r="A882" s="1">
        <f t="shared" si="1202"/>
        <v>16211</v>
      </c>
      <c r="J882" s="1" t="str">
        <f t="shared" ref="J882" si="1230">CONCATENATE(J881,"1")</f>
        <v>121</v>
      </c>
      <c r="M882" s="1" t="e">
        <f t="array" ref="M882:P884">LINEST($B888:$B901,$C888:$C901^{1,2,3},TRUE,TRUE)</f>
        <v>#VALUE!</v>
      </c>
      <c r="N882" s="1" t="e">
        <v>#VALUE!</v>
      </c>
      <c r="O882" s="1" t="e">
        <v>#VALUE!</v>
      </c>
      <c r="P882" s="1" t="e">
        <v>#VALUE!</v>
      </c>
      <c r="S882" s="1">
        <f t="shared" si="1229"/>
        <v>16</v>
      </c>
      <c r="T882" s="1">
        <v>211</v>
      </c>
    </row>
    <row r="883" spans="1:20" x14ac:dyDescent="0.3">
      <c r="A883" s="1">
        <f t="shared" si="1202"/>
        <v>16212</v>
      </c>
      <c r="B883" s="59" t="s">
        <v>17</v>
      </c>
      <c r="C883" s="59"/>
      <c r="D883" s="59"/>
      <c r="E883" s="59"/>
      <c r="F883" s="59"/>
      <c r="G883" s="60" t="s">
        <v>29</v>
      </c>
      <c r="H883" s="61"/>
      <c r="J883" s="1" t="str">
        <f t="shared" ref="J883" si="1231">CONCATENATE(J881,"2")</f>
        <v>122</v>
      </c>
      <c r="M883" s="1" t="e">
        <v>#VALUE!</v>
      </c>
      <c r="N883" s="1" t="e">
        <v>#VALUE!</v>
      </c>
      <c r="O883" s="1" t="e">
        <v>#VALUE!</v>
      </c>
      <c r="P883" s="1" t="e">
        <v>#VALUE!</v>
      </c>
      <c r="S883" s="1">
        <f t="shared" si="1229"/>
        <v>16</v>
      </c>
      <c r="T883" s="1">
        <v>212</v>
      </c>
    </row>
    <row r="884" spans="1:20" x14ac:dyDescent="0.3">
      <c r="A884" s="1">
        <f t="shared" si="1202"/>
        <v>16213</v>
      </c>
      <c r="B884" s="54" t="s">
        <v>18</v>
      </c>
      <c r="C884" s="54"/>
      <c r="D884" s="54"/>
      <c r="E884" s="54" t="str">
        <f t="shared" ref="E884" si="1232">IF(D877="","",D877)</f>
        <v/>
      </c>
      <c r="F884" s="54"/>
      <c r="G884" s="5" t="s">
        <v>18</v>
      </c>
      <c r="H884" s="20"/>
      <c r="J884" s="1" t="str">
        <f t="shared" ref="J884" si="1233">CONCATENATE(J881,"3")</f>
        <v>123</v>
      </c>
      <c r="M884" s="1" t="e">
        <v>#VALUE!</v>
      </c>
      <c r="N884" s="1" t="e">
        <v>#VALUE!</v>
      </c>
      <c r="O884" s="1" t="e">
        <v>#VALUE!</v>
      </c>
      <c r="P884" s="1" t="e">
        <v>#VALUE!</v>
      </c>
      <c r="S884" s="1">
        <f t="shared" si="1229"/>
        <v>16</v>
      </c>
      <c r="T884" s="1">
        <v>213</v>
      </c>
    </row>
    <row r="885" spans="1:20" ht="15" customHeight="1" x14ac:dyDescent="0.3">
      <c r="A885" s="1">
        <f t="shared" si="1202"/>
        <v>16214</v>
      </c>
      <c r="B885" s="6" t="s">
        <v>19</v>
      </c>
      <c r="C885" s="6" t="s">
        <v>20</v>
      </c>
      <c r="D885" s="6" t="s">
        <v>21</v>
      </c>
      <c r="E885" s="6"/>
      <c r="F885" s="55" t="s">
        <v>31</v>
      </c>
      <c r="G885" s="6" t="s">
        <v>19</v>
      </c>
      <c r="H885" s="6" t="s">
        <v>20</v>
      </c>
      <c r="J885" s="1">
        <f t="shared" ref="J885" si="1234">J881-1</f>
        <v>11</v>
      </c>
      <c r="M885" s="1" t="s">
        <v>2</v>
      </c>
      <c r="N885" s="1" t="s">
        <v>3</v>
      </c>
      <c r="O885" s="1" t="s">
        <v>4</v>
      </c>
      <c r="P885" s="1" t="s">
        <v>5</v>
      </c>
      <c r="S885" s="1">
        <f t="shared" si="1229"/>
        <v>16</v>
      </c>
      <c r="T885" s="1">
        <v>214</v>
      </c>
    </row>
    <row r="886" spans="1:20" x14ac:dyDescent="0.3">
      <c r="A886" s="1">
        <f t="shared" si="1202"/>
        <v>16215</v>
      </c>
      <c r="B886" s="6" t="s">
        <v>22</v>
      </c>
      <c r="C886" s="6" t="s">
        <v>23</v>
      </c>
      <c r="D886" s="6" t="s">
        <v>24</v>
      </c>
      <c r="E886" s="6" t="s">
        <v>30</v>
      </c>
      <c r="F886" s="55"/>
      <c r="G886" s="6" t="s">
        <v>22</v>
      </c>
      <c r="H886" s="6" t="s">
        <v>23</v>
      </c>
      <c r="J886" s="1" t="str">
        <f t="shared" ref="J886" si="1235">CONCATENATE(J885,"1")</f>
        <v>111</v>
      </c>
      <c r="M886" s="1" t="e">
        <f t="array" ref="M886:P888">LINEST($B888:$B900,$C888:$C900^{1,2,3},TRUE,TRUE)</f>
        <v>#VALUE!</v>
      </c>
      <c r="N886" s="1" t="e">
        <v>#VALUE!</v>
      </c>
      <c r="O886" s="1" t="e">
        <v>#VALUE!</v>
      </c>
      <c r="P886" s="1" t="e">
        <v>#VALUE!</v>
      </c>
      <c r="S886" s="1">
        <f t="shared" si="1229"/>
        <v>16</v>
      </c>
      <c r="T886" s="1">
        <v>215</v>
      </c>
    </row>
    <row r="887" spans="1:20" x14ac:dyDescent="0.3">
      <c r="A887" s="1">
        <f t="shared" si="1202"/>
        <v>16216</v>
      </c>
      <c r="B887" s="7" t="str">
        <f t="shared" ref="B887" si="1236">IF(H880="","",H880)</f>
        <v/>
      </c>
      <c r="C887" s="7" t="str">
        <f t="shared" ref="C887" si="1237">IF(H880="","",H880)</f>
        <v/>
      </c>
      <c r="D887" s="7" t="str">
        <f t="shared" ref="D887" si="1238">IF(H880="","",H880)</f>
        <v/>
      </c>
      <c r="E887" s="7"/>
      <c r="F887" s="7" t="str">
        <f t="shared" ref="F887" si="1239">IF(I880="","",I880)</f>
        <v/>
      </c>
      <c r="G887" s="7" t="str">
        <f t="shared" ref="G887" si="1240">IF(H880="","",H880)</f>
        <v/>
      </c>
      <c r="H887" s="7" t="str">
        <f t="shared" ref="H887" si="1241">IF(H880="","",H880)</f>
        <v/>
      </c>
      <c r="J887" s="1" t="str">
        <f t="shared" ref="J887" si="1242">CONCATENATE(J885,"2")</f>
        <v>112</v>
      </c>
      <c r="M887" s="1" t="e">
        <v>#VALUE!</v>
      </c>
      <c r="N887" s="1" t="e">
        <v>#VALUE!</v>
      </c>
      <c r="O887" s="1" t="e">
        <v>#VALUE!</v>
      </c>
      <c r="P887" s="1" t="e">
        <v>#VALUE!</v>
      </c>
      <c r="S887" s="1">
        <f t="shared" si="1229"/>
        <v>16</v>
      </c>
      <c r="T887" s="1">
        <v>216</v>
      </c>
    </row>
    <row r="888" spans="1:20" x14ac:dyDescent="0.3">
      <c r="A888" s="1">
        <f t="shared" si="1202"/>
        <v>16217</v>
      </c>
      <c r="B888" s="24"/>
      <c r="C888" s="24"/>
      <c r="D888" s="24"/>
      <c r="E888" s="24"/>
      <c r="F888" s="24"/>
      <c r="G888" s="25"/>
      <c r="H888" s="25"/>
      <c r="J888" s="1" t="str">
        <f t="shared" ref="J888" si="1243">CONCATENATE(J885,"3")</f>
        <v>113</v>
      </c>
      <c r="M888" s="1" t="e">
        <v>#VALUE!</v>
      </c>
      <c r="N888" s="1" t="e">
        <v>#VALUE!</v>
      </c>
      <c r="O888" s="1" t="e">
        <v>#VALUE!</v>
      </c>
      <c r="P888" s="1" t="e">
        <v>#VALUE!</v>
      </c>
      <c r="S888" s="1">
        <f t="shared" si="1229"/>
        <v>16</v>
      </c>
      <c r="T888" s="1">
        <v>217</v>
      </c>
    </row>
    <row r="889" spans="1:20" x14ac:dyDescent="0.3">
      <c r="A889" s="1">
        <f t="shared" si="1202"/>
        <v>16218</v>
      </c>
      <c r="B889" s="24"/>
      <c r="C889" s="24"/>
      <c r="D889" s="24"/>
      <c r="E889" s="24"/>
      <c r="F889" s="24"/>
      <c r="G889" s="25"/>
      <c r="H889" s="25"/>
      <c r="J889" s="1">
        <f t="shared" ref="J889" si="1244">J885-1</f>
        <v>10</v>
      </c>
      <c r="M889" s="1" t="s">
        <v>2</v>
      </c>
      <c r="N889" s="1" t="s">
        <v>3</v>
      </c>
      <c r="O889" s="1" t="s">
        <v>4</v>
      </c>
      <c r="P889" s="1" t="s">
        <v>5</v>
      </c>
      <c r="S889" s="1">
        <f t="shared" si="1229"/>
        <v>16</v>
      </c>
      <c r="T889" s="1">
        <v>218</v>
      </c>
    </row>
    <row r="890" spans="1:20" x14ac:dyDescent="0.3">
      <c r="A890" s="1">
        <f t="shared" si="1202"/>
        <v>16219</v>
      </c>
      <c r="B890" s="24"/>
      <c r="C890" s="24"/>
      <c r="D890" s="24"/>
      <c r="E890" s="24"/>
      <c r="F890" s="24"/>
      <c r="G890" s="25"/>
      <c r="H890" s="25"/>
      <c r="J890" s="1" t="str">
        <f t="shared" ref="J890" si="1245">CONCATENATE(J889,"1")</f>
        <v>101</v>
      </c>
      <c r="M890" s="1" t="e">
        <f t="array" ref="M890:P892">LINEST($B888:$B899,$C888:$C899^{1,2,3},TRUE,TRUE)</f>
        <v>#VALUE!</v>
      </c>
      <c r="N890" s="1" t="e">
        <v>#VALUE!</v>
      </c>
      <c r="O890" s="1" t="e">
        <v>#VALUE!</v>
      </c>
      <c r="P890" s="1" t="e">
        <v>#VALUE!</v>
      </c>
      <c r="S890" s="1">
        <f t="shared" si="1229"/>
        <v>16</v>
      </c>
      <c r="T890" s="1">
        <v>219</v>
      </c>
    </row>
    <row r="891" spans="1:20" x14ac:dyDescent="0.3">
      <c r="A891" s="1">
        <f t="shared" si="1202"/>
        <v>16220</v>
      </c>
      <c r="B891" s="24"/>
      <c r="C891" s="24"/>
      <c r="D891" s="24"/>
      <c r="E891" s="24"/>
      <c r="F891" s="24"/>
      <c r="G891" s="25"/>
      <c r="H891" s="25"/>
      <c r="J891" s="1" t="str">
        <f t="shared" ref="J891" si="1246">CONCATENATE(J889,"2")</f>
        <v>102</v>
      </c>
      <c r="M891" s="1" t="e">
        <v>#VALUE!</v>
      </c>
      <c r="N891" s="1" t="e">
        <v>#VALUE!</v>
      </c>
      <c r="O891" s="1" t="e">
        <v>#VALUE!</v>
      </c>
      <c r="P891" s="1" t="e">
        <v>#VALUE!</v>
      </c>
      <c r="S891" s="1">
        <f t="shared" si="1229"/>
        <v>16</v>
      </c>
      <c r="T891" s="1">
        <v>220</v>
      </c>
    </row>
    <row r="892" spans="1:20" x14ac:dyDescent="0.3">
      <c r="A892" s="1">
        <f t="shared" si="1202"/>
        <v>16221</v>
      </c>
      <c r="B892" s="24"/>
      <c r="C892" s="24"/>
      <c r="D892" s="24"/>
      <c r="E892" s="24"/>
      <c r="F892" s="24"/>
      <c r="G892" s="25"/>
      <c r="H892" s="25"/>
      <c r="J892" s="1" t="str">
        <f t="shared" ref="J892" si="1247">CONCATENATE(J889,"3")</f>
        <v>103</v>
      </c>
      <c r="M892" s="1" t="e">
        <v>#VALUE!</v>
      </c>
      <c r="N892" s="1" t="e">
        <v>#VALUE!</v>
      </c>
      <c r="O892" s="1" t="e">
        <v>#VALUE!</v>
      </c>
      <c r="P892" s="1" t="e">
        <v>#VALUE!</v>
      </c>
      <c r="S892" s="1">
        <f t="shared" si="1229"/>
        <v>16</v>
      </c>
      <c r="T892" s="1">
        <v>221</v>
      </c>
    </row>
    <row r="893" spans="1:20" x14ac:dyDescent="0.3">
      <c r="A893" s="1">
        <f t="shared" si="1202"/>
        <v>16222</v>
      </c>
      <c r="B893" s="24"/>
      <c r="C893" s="24"/>
      <c r="D893" s="24"/>
      <c r="E893" s="24"/>
      <c r="F893" s="24"/>
      <c r="G893" s="25"/>
      <c r="H893" s="25"/>
      <c r="J893" s="1">
        <f t="shared" ref="J893" si="1248">J889-1</f>
        <v>9</v>
      </c>
      <c r="M893" s="1" t="s">
        <v>2</v>
      </c>
      <c r="N893" s="1" t="s">
        <v>3</v>
      </c>
      <c r="O893" s="1" t="s">
        <v>4</v>
      </c>
      <c r="P893" s="1" t="s">
        <v>5</v>
      </c>
      <c r="S893" s="1">
        <f t="shared" si="1229"/>
        <v>16</v>
      </c>
      <c r="T893" s="1">
        <v>222</v>
      </c>
    </row>
    <row r="894" spans="1:20" x14ac:dyDescent="0.3">
      <c r="A894" s="1">
        <f t="shared" si="1202"/>
        <v>16223</v>
      </c>
      <c r="B894" s="24"/>
      <c r="C894" s="24"/>
      <c r="D894" s="24"/>
      <c r="E894" s="24"/>
      <c r="F894" s="24"/>
      <c r="G894" s="25"/>
      <c r="H894" s="25"/>
      <c r="J894" s="1" t="str">
        <f t="shared" ref="J894" si="1249">CONCATENATE(J893,"1")</f>
        <v>91</v>
      </c>
      <c r="M894" s="1" t="e">
        <f t="array" ref="M894:P896">LINEST($B888:$B898,$C888:$C898^{1,2,3},TRUE,TRUE)</f>
        <v>#VALUE!</v>
      </c>
      <c r="N894" s="1" t="e">
        <v>#VALUE!</v>
      </c>
      <c r="O894" s="1" t="e">
        <v>#VALUE!</v>
      </c>
      <c r="P894" s="1" t="e">
        <v>#VALUE!</v>
      </c>
      <c r="S894" s="1">
        <f t="shared" si="1229"/>
        <v>16</v>
      </c>
      <c r="T894" s="1">
        <v>223</v>
      </c>
    </row>
    <row r="895" spans="1:20" x14ac:dyDescent="0.3">
      <c r="A895" s="1">
        <f t="shared" si="1202"/>
        <v>16224</v>
      </c>
      <c r="B895" s="24"/>
      <c r="C895" s="24"/>
      <c r="D895" s="24"/>
      <c r="E895" s="24"/>
      <c r="F895" s="24"/>
      <c r="G895" s="25"/>
      <c r="H895" s="25"/>
      <c r="J895" s="1" t="str">
        <f t="shared" ref="J895" si="1250">CONCATENATE(J893,"2")</f>
        <v>92</v>
      </c>
      <c r="M895" s="1" t="e">
        <v>#VALUE!</v>
      </c>
      <c r="N895" s="1" t="e">
        <v>#VALUE!</v>
      </c>
      <c r="O895" s="1" t="e">
        <v>#VALUE!</v>
      </c>
      <c r="P895" s="1" t="e">
        <v>#VALUE!</v>
      </c>
      <c r="S895" s="1">
        <f t="shared" si="1229"/>
        <v>16</v>
      </c>
      <c r="T895" s="1">
        <v>224</v>
      </c>
    </row>
    <row r="896" spans="1:20" x14ac:dyDescent="0.3">
      <c r="A896" s="1">
        <f t="shared" si="1202"/>
        <v>16225</v>
      </c>
      <c r="B896" s="24"/>
      <c r="C896" s="24"/>
      <c r="D896" s="24"/>
      <c r="E896" s="24"/>
      <c r="F896" s="24"/>
      <c r="G896" s="25"/>
      <c r="H896" s="25"/>
      <c r="J896" s="1" t="str">
        <f t="shared" ref="J896" si="1251">CONCATENATE(J893,"3")</f>
        <v>93</v>
      </c>
      <c r="M896" s="1" t="e">
        <v>#VALUE!</v>
      </c>
      <c r="N896" s="1" t="e">
        <v>#VALUE!</v>
      </c>
      <c r="O896" s="1" t="e">
        <v>#VALUE!</v>
      </c>
      <c r="P896" s="1" t="e">
        <v>#VALUE!</v>
      </c>
      <c r="S896" s="1">
        <f t="shared" si="1229"/>
        <v>16</v>
      </c>
      <c r="T896" s="1">
        <v>225</v>
      </c>
    </row>
    <row r="897" spans="1:20" x14ac:dyDescent="0.3">
      <c r="A897" s="1">
        <f t="shared" si="1202"/>
        <v>16226</v>
      </c>
      <c r="B897" s="24"/>
      <c r="C897" s="24"/>
      <c r="D897" s="24"/>
      <c r="E897" s="24"/>
      <c r="F897" s="24"/>
      <c r="G897" s="25"/>
      <c r="H897" s="25"/>
      <c r="J897" s="1">
        <f t="shared" ref="J897" si="1252">J893-1</f>
        <v>8</v>
      </c>
      <c r="M897" s="1" t="s">
        <v>2</v>
      </c>
      <c r="N897" s="1" t="s">
        <v>3</v>
      </c>
      <c r="O897" s="1" t="s">
        <v>4</v>
      </c>
      <c r="P897" s="1" t="s">
        <v>5</v>
      </c>
      <c r="S897" s="1">
        <f t="shared" si="1229"/>
        <v>16</v>
      </c>
      <c r="T897" s="1">
        <v>226</v>
      </c>
    </row>
    <row r="898" spans="1:20" x14ac:dyDescent="0.3">
      <c r="A898" s="1">
        <f t="shared" si="1202"/>
        <v>16227</v>
      </c>
      <c r="B898" s="24"/>
      <c r="C898" s="24"/>
      <c r="D898" s="24"/>
      <c r="E898" s="24"/>
      <c r="F898" s="24"/>
      <c r="G898" s="25"/>
      <c r="H898" s="25"/>
      <c r="J898" s="1" t="str">
        <f t="shared" ref="J898" si="1253">CONCATENATE(J897,"1")</f>
        <v>81</v>
      </c>
      <c r="M898" s="1" t="e">
        <f t="array" ref="M898:P900">LINEST($B888:$B897,$C888:$C897^{1,2,3},TRUE,TRUE)</f>
        <v>#VALUE!</v>
      </c>
      <c r="N898" s="1" t="e">
        <v>#VALUE!</v>
      </c>
      <c r="O898" s="1" t="e">
        <v>#VALUE!</v>
      </c>
      <c r="P898" s="1" t="e">
        <v>#VALUE!</v>
      </c>
      <c r="S898" s="1">
        <f t="shared" si="1229"/>
        <v>16</v>
      </c>
      <c r="T898" s="1">
        <v>227</v>
      </c>
    </row>
    <row r="899" spans="1:20" x14ac:dyDescent="0.3">
      <c r="A899" s="1">
        <f t="shared" si="1202"/>
        <v>16228</v>
      </c>
      <c r="B899" s="24"/>
      <c r="C899" s="24"/>
      <c r="D899" s="24"/>
      <c r="E899" s="24"/>
      <c r="F899" s="24"/>
      <c r="G899" s="25"/>
      <c r="H899" s="25"/>
      <c r="J899" s="1" t="str">
        <f t="shared" ref="J899" si="1254">CONCATENATE(J897,"2")</f>
        <v>82</v>
      </c>
      <c r="M899" s="1" t="e">
        <v>#VALUE!</v>
      </c>
      <c r="N899" s="1" t="e">
        <v>#VALUE!</v>
      </c>
      <c r="O899" s="1" t="e">
        <v>#VALUE!</v>
      </c>
      <c r="P899" s="1" t="e">
        <v>#VALUE!</v>
      </c>
      <c r="S899" s="1">
        <f t="shared" si="1229"/>
        <v>16</v>
      </c>
      <c r="T899" s="1">
        <v>228</v>
      </c>
    </row>
    <row r="900" spans="1:20" x14ac:dyDescent="0.3">
      <c r="A900" s="1">
        <f t="shared" si="1202"/>
        <v>16229</v>
      </c>
      <c r="B900" s="24"/>
      <c r="C900" s="24"/>
      <c r="D900" s="24"/>
      <c r="E900" s="24"/>
      <c r="F900" s="24"/>
      <c r="G900" s="25"/>
      <c r="H900" s="25"/>
      <c r="J900" s="1" t="str">
        <f t="shared" ref="J900" si="1255">CONCATENATE(J897,"3")</f>
        <v>83</v>
      </c>
      <c r="M900" s="1" t="e">
        <v>#VALUE!</v>
      </c>
      <c r="N900" s="1" t="e">
        <v>#VALUE!</v>
      </c>
      <c r="O900" s="1" t="e">
        <v>#VALUE!</v>
      </c>
      <c r="P900" s="1" t="e">
        <v>#VALUE!</v>
      </c>
      <c r="S900" s="1">
        <f t="shared" si="1229"/>
        <v>16</v>
      </c>
      <c r="T900" s="1">
        <v>229</v>
      </c>
    </row>
    <row r="901" spans="1:20" x14ac:dyDescent="0.3">
      <c r="A901" s="1">
        <f t="shared" si="1202"/>
        <v>16230</v>
      </c>
      <c r="B901" s="24"/>
      <c r="C901" s="24"/>
      <c r="D901" s="24"/>
      <c r="E901" s="24"/>
      <c r="F901" s="24"/>
      <c r="G901" s="25"/>
      <c r="H901" s="25"/>
      <c r="J901" s="1">
        <f t="shared" ref="J901" si="1256">J897-1</f>
        <v>7</v>
      </c>
      <c r="M901" s="1" t="s">
        <v>2</v>
      </c>
      <c r="N901" s="1" t="s">
        <v>3</v>
      </c>
      <c r="O901" s="1" t="s">
        <v>4</v>
      </c>
      <c r="P901" s="1" t="s">
        <v>5</v>
      </c>
      <c r="S901" s="1">
        <f t="shared" si="1229"/>
        <v>16</v>
      </c>
      <c r="T901" s="1">
        <v>230</v>
      </c>
    </row>
    <row r="902" spans="1:20" x14ac:dyDescent="0.3">
      <c r="A902" s="1">
        <f t="shared" si="1202"/>
        <v>16231</v>
      </c>
      <c r="B902" s="24"/>
      <c r="C902" s="24"/>
      <c r="D902" s="24"/>
      <c r="E902" s="24"/>
      <c r="F902" s="24"/>
      <c r="G902" s="25"/>
      <c r="H902" s="25"/>
      <c r="J902" s="1" t="str">
        <f t="shared" ref="J902" si="1257">CONCATENATE(J901,"1")</f>
        <v>71</v>
      </c>
      <c r="M902" s="1" t="e">
        <f t="array" ref="M902:P904">LINEST($B888:$B896,$C888:$C896^{1,2,3},TRUE,TRUE)</f>
        <v>#VALUE!</v>
      </c>
      <c r="N902" s="1" t="e">
        <v>#VALUE!</v>
      </c>
      <c r="O902" s="1" t="e">
        <v>#VALUE!</v>
      </c>
      <c r="P902" s="1" t="e">
        <v>#VALUE!</v>
      </c>
      <c r="S902" s="1">
        <f t="shared" si="1229"/>
        <v>16</v>
      </c>
      <c r="T902" s="1">
        <v>231</v>
      </c>
    </row>
    <row r="903" spans="1:20" x14ac:dyDescent="0.3">
      <c r="A903" s="1">
        <f t="shared" si="1202"/>
        <v>16232</v>
      </c>
      <c r="B903" s="2">
        <f t="shared" ref="B903" si="1258">COUNT(B888:B902)-2</f>
        <v>-2</v>
      </c>
      <c r="J903" s="1" t="str">
        <f t="shared" ref="J903" si="1259">CONCATENATE(J901,"2")</f>
        <v>72</v>
      </c>
      <c r="M903" s="1" t="e">
        <v>#VALUE!</v>
      </c>
      <c r="N903" s="1" t="e">
        <v>#VALUE!</v>
      </c>
      <c r="O903" s="1" t="e">
        <v>#VALUE!</v>
      </c>
      <c r="P903" s="1" t="e">
        <v>#VALUE!</v>
      </c>
      <c r="S903" s="1">
        <f t="shared" si="1229"/>
        <v>16</v>
      </c>
      <c r="T903" s="1">
        <v>232</v>
      </c>
    </row>
    <row r="904" spans="1:20" x14ac:dyDescent="0.3">
      <c r="A904" s="1">
        <f t="shared" si="1202"/>
        <v>16233</v>
      </c>
      <c r="J904" s="1" t="str">
        <f t="shared" ref="J904" si="1260">CONCATENATE(J901,"3")</f>
        <v>73</v>
      </c>
      <c r="M904" s="1" t="e">
        <v>#VALUE!</v>
      </c>
      <c r="N904" s="1" t="e">
        <v>#VALUE!</v>
      </c>
      <c r="O904" s="1" t="e">
        <v>#VALUE!</v>
      </c>
      <c r="P904" s="1" t="e">
        <v>#VALUE!</v>
      </c>
      <c r="S904" s="1">
        <f t="shared" si="1229"/>
        <v>16</v>
      </c>
      <c r="T904" s="1">
        <v>233</v>
      </c>
    </row>
    <row r="905" spans="1:20" x14ac:dyDescent="0.3">
      <c r="A905" s="1">
        <f t="shared" si="1202"/>
        <v>16234</v>
      </c>
      <c r="B905" s="54" t="s">
        <v>25</v>
      </c>
      <c r="C905" s="54"/>
      <c r="D905" s="54"/>
      <c r="E905" s="54"/>
      <c r="F905" s="54"/>
      <c r="G905" s="54"/>
      <c r="H905" s="54"/>
      <c r="J905" s="1">
        <f t="shared" ref="J905" si="1261">J901-1</f>
        <v>6</v>
      </c>
      <c r="M905" s="1" t="s">
        <v>2</v>
      </c>
      <c r="N905" s="1" t="s">
        <v>3</v>
      </c>
      <c r="O905" s="1" t="s">
        <v>4</v>
      </c>
      <c r="P905" s="1" t="s">
        <v>5</v>
      </c>
      <c r="S905" s="1">
        <f t="shared" si="1229"/>
        <v>16</v>
      </c>
      <c r="T905" s="1">
        <v>234</v>
      </c>
    </row>
    <row r="906" spans="1:20" x14ac:dyDescent="0.3">
      <c r="A906" s="1">
        <f t="shared" si="1202"/>
        <v>16235</v>
      </c>
      <c r="B906" s="56"/>
      <c r="C906" s="56"/>
      <c r="D906" s="56"/>
      <c r="E906" s="56"/>
      <c r="F906" s="56"/>
      <c r="G906" s="56"/>
      <c r="H906" s="56"/>
      <c r="J906" s="1" t="str">
        <f t="shared" ref="J906" si="1262">CONCATENATE(J905,"1")</f>
        <v>61</v>
      </c>
      <c r="M906" s="1" t="e">
        <f t="array" ref="M906:P908">LINEST($B888:$B895,$C888:$C895^{1,2,3},TRUE,TRUE)</f>
        <v>#VALUE!</v>
      </c>
      <c r="N906" s="1" t="e">
        <v>#VALUE!</v>
      </c>
      <c r="O906" s="1" t="e">
        <v>#VALUE!</v>
      </c>
      <c r="P906" s="1" t="e">
        <v>#VALUE!</v>
      </c>
      <c r="S906" s="1">
        <f t="shared" si="1229"/>
        <v>16</v>
      </c>
      <c r="T906" s="1">
        <v>235</v>
      </c>
    </row>
    <row r="907" spans="1:20" x14ac:dyDescent="0.3">
      <c r="A907" s="1">
        <f t="shared" si="1202"/>
        <v>16236</v>
      </c>
      <c r="B907" s="56"/>
      <c r="C907" s="56"/>
      <c r="D907" s="56"/>
      <c r="E907" s="56"/>
      <c r="F907" s="56"/>
      <c r="G907" s="56"/>
      <c r="H907" s="56"/>
      <c r="J907" s="1" t="str">
        <f t="shared" ref="J907" si="1263">CONCATENATE(J905,"2")</f>
        <v>62</v>
      </c>
      <c r="M907" s="1" t="e">
        <v>#VALUE!</v>
      </c>
      <c r="N907" s="1" t="e">
        <v>#VALUE!</v>
      </c>
      <c r="O907" s="1" t="e">
        <v>#VALUE!</v>
      </c>
      <c r="P907" s="1" t="e">
        <v>#VALUE!</v>
      </c>
      <c r="S907" s="1">
        <f t="shared" si="1229"/>
        <v>16</v>
      </c>
      <c r="T907" s="1">
        <v>236</v>
      </c>
    </row>
    <row r="908" spans="1:20" x14ac:dyDescent="0.3">
      <c r="A908" s="1">
        <f t="shared" si="1202"/>
        <v>16237</v>
      </c>
      <c r="J908" s="1" t="str">
        <f t="shared" ref="J908" si="1264">CONCATENATE(J905,"3")</f>
        <v>63</v>
      </c>
      <c r="M908" s="1" t="e">
        <v>#VALUE!</v>
      </c>
      <c r="N908" s="1" t="e">
        <v>#VALUE!</v>
      </c>
      <c r="O908" s="1" t="e">
        <v>#VALUE!</v>
      </c>
      <c r="P908" s="1" t="e">
        <v>#VALUE!</v>
      </c>
      <c r="S908" s="1">
        <f t="shared" si="1229"/>
        <v>16</v>
      </c>
      <c r="T908" s="1">
        <v>237</v>
      </c>
    </row>
    <row r="909" spans="1:20" ht="15" customHeight="1" x14ac:dyDescent="0.3">
      <c r="A909" s="1">
        <f t="shared" si="1202"/>
        <v>16238</v>
      </c>
      <c r="J909" s="1">
        <f t="shared" ref="J909" si="1265">J905-1</f>
        <v>5</v>
      </c>
      <c r="M909" s="1" t="s">
        <v>2</v>
      </c>
      <c r="N909" s="1" t="s">
        <v>3</v>
      </c>
      <c r="O909" s="1" t="s">
        <v>4</v>
      </c>
      <c r="P909" s="1" t="s">
        <v>5</v>
      </c>
      <c r="S909" s="1">
        <f t="shared" si="1229"/>
        <v>16</v>
      </c>
      <c r="T909" s="1">
        <v>238</v>
      </c>
    </row>
    <row r="910" spans="1:20" x14ac:dyDescent="0.3">
      <c r="A910" s="1">
        <f t="shared" si="1202"/>
        <v>16239</v>
      </c>
      <c r="J910" s="1" t="str">
        <f t="shared" ref="J910" si="1266">CONCATENATE(J909,"1")</f>
        <v>51</v>
      </c>
      <c r="M910" s="1" t="e">
        <f t="array" ref="M910:P912">LINEST($B888:$B894,$C888:$C894^{1,2,3},TRUE,TRUE)</f>
        <v>#VALUE!</v>
      </c>
      <c r="N910" s="1" t="e">
        <v>#VALUE!</v>
      </c>
      <c r="O910" s="1" t="e">
        <v>#VALUE!</v>
      </c>
      <c r="P910" s="1" t="e">
        <v>#VALUE!</v>
      </c>
      <c r="S910" s="1">
        <f t="shared" si="1229"/>
        <v>16</v>
      </c>
      <c r="T910" s="1">
        <v>239</v>
      </c>
    </row>
    <row r="911" spans="1:20" x14ac:dyDescent="0.3">
      <c r="A911" s="1">
        <f t="shared" si="1202"/>
        <v>16240</v>
      </c>
      <c r="E911" s="26"/>
      <c r="F911" s="26"/>
      <c r="G911" s="26"/>
      <c r="H911" s="26"/>
      <c r="J911" s="1" t="str">
        <f t="shared" ref="J911" si="1267">CONCATENATE(J909,"2")</f>
        <v>52</v>
      </c>
      <c r="M911" s="1" t="e">
        <v>#VALUE!</v>
      </c>
      <c r="N911" s="1" t="e">
        <v>#VALUE!</v>
      </c>
      <c r="O911" s="1" t="e">
        <v>#VALUE!</v>
      </c>
      <c r="P911" s="1" t="e">
        <v>#VALUE!</v>
      </c>
      <c r="S911" s="1">
        <f t="shared" si="1229"/>
        <v>16</v>
      </c>
      <c r="T911" s="1">
        <v>240</v>
      </c>
    </row>
    <row r="912" spans="1:20" x14ac:dyDescent="0.3">
      <c r="A912" s="1">
        <f t="shared" si="1202"/>
        <v>16241</v>
      </c>
      <c r="B912" s="54" t="s">
        <v>90</v>
      </c>
      <c r="C912" s="54"/>
      <c r="D912" s="54"/>
      <c r="E912" s="27" t="str">
        <f t="shared" ref="E912" si="1268">IF(D874="","",MAX(E913,E914))</f>
        <v/>
      </c>
      <c r="F912" s="26"/>
      <c r="G912" s="26"/>
      <c r="H912" s="26"/>
      <c r="J912" s="1" t="str">
        <f t="shared" ref="J912" si="1269">CONCATENATE(J909,"3")</f>
        <v>53</v>
      </c>
      <c r="M912" s="1" t="e">
        <v>#VALUE!</v>
      </c>
      <c r="N912" s="1" t="e">
        <v>#VALUE!</v>
      </c>
      <c r="O912" s="1" t="e">
        <v>#VALUE!</v>
      </c>
      <c r="P912" s="1" t="e">
        <v>#VALUE!</v>
      </c>
      <c r="S912" s="1">
        <f t="shared" si="1229"/>
        <v>16</v>
      </c>
      <c r="T912" s="1">
        <v>241</v>
      </c>
    </row>
    <row r="913" spans="1:20" x14ac:dyDescent="0.3">
      <c r="A913" s="1">
        <f t="shared" si="1202"/>
        <v>16242</v>
      </c>
      <c r="B913" s="2" t="s">
        <v>26</v>
      </c>
      <c r="C913" s="2" t="s">
        <v>27</v>
      </c>
      <c r="D913" s="2" t="s">
        <v>28</v>
      </c>
      <c r="E913" s="28">
        <f t="shared" ref="E913" si="1270">ABS(MIN(D914:D928))</f>
        <v>0</v>
      </c>
      <c r="F913" s="26"/>
      <c r="H913" s="26"/>
      <c r="J913" s="1">
        <f t="shared" ref="J913" si="1271">J909-1</f>
        <v>4</v>
      </c>
      <c r="M913" s="1" t="s">
        <v>2</v>
      </c>
      <c r="N913" s="1" t="s">
        <v>3</v>
      </c>
      <c r="O913" s="1" t="s">
        <v>4</v>
      </c>
      <c r="P913" s="1" t="s">
        <v>5</v>
      </c>
      <c r="S913" s="1">
        <f t="shared" si="1229"/>
        <v>16</v>
      </c>
      <c r="T913" s="1">
        <v>242</v>
      </c>
    </row>
    <row r="914" spans="1:20" x14ac:dyDescent="0.3">
      <c r="A914" s="1">
        <f t="shared" si="1202"/>
        <v>16243</v>
      </c>
      <c r="B914" s="2">
        <f t="shared" ref="B914:B928" si="1272">C888-B888</f>
        <v>0</v>
      </c>
      <c r="C914" s="2">
        <f t="shared" ref="C914:C928" si="1273">H888-G888</f>
        <v>0</v>
      </c>
      <c r="D914" s="2">
        <f t="shared" ref="D914:D928" si="1274">C914-B914</f>
        <v>0</v>
      </c>
      <c r="E914" s="28">
        <f t="shared" ref="E914" si="1275">ABS(MAX(D914:D928))</f>
        <v>0</v>
      </c>
      <c r="F914" s="26"/>
      <c r="H914" s="26"/>
      <c r="J914" s="1" t="str">
        <f t="shared" ref="J914" si="1276">CONCATENATE(J913,"1")</f>
        <v>41</v>
      </c>
      <c r="M914" s="1" t="e">
        <f t="array" ref="M914:P916">LINEST($B888:$B893,$C888:$C893^{1,2,3},TRUE,TRUE)</f>
        <v>#VALUE!</v>
      </c>
      <c r="N914" s="1" t="e">
        <v>#VALUE!</v>
      </c>
      <c r="O914" s="1" t="e">
        <v>#VALUE!</v>
      </c>
      <c r="P914" s="1" t="e">
        <v>#VALUE!</v>
      </c>
      <c r="S914" s="1">
        <f t="shared" si="1229"/>
        <v>16</v>
      </c>
      <c r="T914" s="1">
        <v>243</v>
      </c>
    </row>
    <row r="915" spans="1:20" x14ac:dyDescent="0.3">
      <c r="A915" s="1">
        <f t="shared" si="1202"/>
        <v>16244</v>
      </c>
      <c r="B915" s="2">
        <f t="shared" si="1272"/>
        <v>0</v>
      </c>
      <c r="C915" s="2">
        <f t="shared" si="1273"/>
        <v>0</v>
      </c>
      <c r="D915" s="2">
        <f t="shared" si="1274"/>
        <v>0</v>
      </c>
      <c r="E915" s="29" t="s">
        <v>32</v>
      </c>
      <c r="F915" s="26"/>
      <c r="H915" s="26"/>
      <c r="J915" s="1" t="str">
        <f t="shared" ref="J915" si="1277">CONCATENATE(J913,"2")</f>
        <v>42</v>
      </c>
      <c r="M915" s="1" t="e">
        <v>#VALUE!</v>
      </c>
      <c r="N915" s="1" t="e">
        <v>#VALUE!</v>
      </c>
      <c r="O915" s="1" t="e">
        <v>#VALUE!</v>
      </c>
      <c r="P915" s="1" t="e">
        <v>#VALUE!</v>
      </c>
      <c r="S915" s="1">
        <f t="shared" si="1229"/>
        <v>16</v>
      </c>
      <c r="T915" s="1">
        <v>244</v>
      </c>
    </row>
    <row r="916" spans="1:20" x14ac:dyDescent="0.3">
      <c r="A916" s="1">
        <f t="shared" si="1202"/>
        <v>16245</v>
      </c>
      <c r="B916" s="2">
        <f t="shared" si="1272"/>
        <v>0</v>
      </c>
      <c r="C916" s="2">
        <f t="shared" si="1273"/>
        <v>0</v>
      </c>
      <c r="D916" s="2">
        <f t="shared" si="1274"/>
        <v>0</v>
      </c>
      <c r="E916" s="27" t="str">
        <f t="shared" ref="E916" si="1278">IF(D874="","",MAX(E917,E918))</f>
        <v/>
      </c>
      <c r="F916" s="26"/>
      <c r="H916" s="26"/>
      <c r="J916" s="1" t="str">
        <f t="shared" ref="J916" si="1279">CONCATENATE(J913,"3")</f>
        <v>43</v>
      </c>
      <c r="M916" s="1" t="e">
        <v>#VALUE!</v>
      </c>
      <c r="N916" s="1" t="e">
        <v>#VALUE!</v>
      </c>
      <c r="O916" s="1" t="e">
        <v>#VALUE!</v>
      </c>
      <c r="P916" s="1" t="e">
        <v>#VALUE!</v>
      </c>
      <c r="S916" s="1">
        <f t="shared" si="1229"/>
        <v>16</v>
      </c>
      <c r="T916" s="1">
        <v>245</v>
      </c>
    </row>
    <row r="917" spans="1:20" x14ac:dyDescent="0.3">
      <c r="A917" s="1">
        <f t="shared" si="1202"/>
        <v>16246</v>
      </c>
      <c r="B917" s="2">
        <f t="shared" si="1272"/>
        <v>0</v>
      </c>
      <c r="C917" s="2">
        <f t="shared" si="1273"/>
        <v>0</v>
      </c>
      <c r="D917" s="2">
        <f t="shared" si="1274"/>
        <v>0</v>
      </c>
      <c r="E917" s="28">
        <f t="shared" ref="E917" si="1280">ABS(MIN(B914:B928))</f>
        <v>0</v>
      </c>
      <c r="F917" s="26"/>
      <c r="H917" s="26"/>
      <c r="J917" s="1">
        <f t="shared" ref="J917" si="1281">J913-1</f>
        <v>3</v>
      </c>
      <c r="M917" s="1" t="s">
        <v>2</v>
      </c>
      <c r="N917" s="1" t="s">
        <v>3</v>
      </c>
      <c r="O917" s="1" t="s">
        <v>4</v>
      </c>
      <c r="P917" s="1" t="s">
        <v>5</v>
      </c>
      <c r="S917" s="1">
        <f t="shared" si="1229"/>
        <v>16</v>
      </c>
      <c r="T917" s="1">
        <v>246</v>
      </c>
    </row>
    <row r="918" spans="1:20" x14ac:dyDescent="0.3">
      <c r="A918" s="1">
        <f t="shared" si="1202"/>
        <v>16247</v>
      </c>
      <c r="B918" s="2">
        <f t="shared" si="1272"/>
        <v>0</v>
      </c>
      <c r="C918" s="2">
        <f t="shared" si="1273"/>
        <v>0</v>
      </c>
      <c r="D918" s="2">
        <f t="shared" si="1274"/>
        <v>0</v>
      </c>
      <c r="E918" s="28">
        <f t="shared" ref="E918" si="1282">ABS(MAX(B914:B928))</f>
        <v>0</v>
      </c>
      <c r="F918" s="26"/>
      <c r="H918" s="26"/>
      <c r="J918" s="1" t="str">
        <f t="shared" ref="J918" si="1283">CONCATENATE(J917,"1")</f>
        <v>31</v>
      </c>
      <c r="M918" s="1" t="e">
        <f t="array" ref="M918:P920">LINEST($B888:$B892,$C888:$C892^{1,2,3},TRUE,TRUE)</f>
        <v>#VALUE!</v>
      </c>
      <c r="N918" s="1" t="e">
        <v>#VALUE!</v>
      </c>
      <c r="O918" s="1" t="e">
        <v>#VALUE!</v>
      </c>
      <c r="P918" s="1" t="e">
        <v>#VALUE!</v>
      </c>
      <c r="S918" s="1">
        <f t="shared" si="1229"/>
        <v>16</v>
      </c>
      <c r="T918" s="1">
        <v>247</v>
      </c>
    </row>
    <row r="919" spans="1:20" x14ac:dyDescent="0.3">
      <c r="A919" s="1">
        <f t="shared" si="1202"/>
        <v>16248</v>
      </c>
      <c r="B919" s="2">
        <f t="shared" si="1272"/>
        <v>0</v>
      </c>
      <c r="C919" s="2">
        <f t="shared" si="1273"/>
        <v>0</v>
      </c>
      <c r="D919" s="2">
        <f t="shared" si="1274"/>
        <v>0</v>
      </c>
      <c r="E919" s="29" t="s">
        <v>33</v>
      </c>
      <c r="F919" s="26"/>
      <c r="J919" s="1" t="str">
        <f t="shared" ref="J919" si="1284">CONCATENATE(J917,"2")</f>
        <v>32</v>
      </c>
      <c r="M919" s="1" t="e">
        <v>#VALUE!</v>
      </c>
      <c r="N919" s="1" t="e">
        <v>#VALUE!</v>
      </c>
      <c r="O919" s="1" t="e">
        <v>#VALUE!</v>
      </c>
      <c r="P919" s="1" t="e">
        <v>#VALUE!</v>
      </c>
      <c r="S919" s="1">
        <f t="shared" si="1229"/>
        <v>16</v>
      </c>
      <c r="T919" s="1">
        <v>248</v>
      </c>
    </row>
    <row r="920" spans="1:20" x14ac:dyDescent="0.3">
      <c r="A920" s="1">
        <f t="shared" si="1202"/>
        <v>16249</v>
      </c>
      <c r="B920" s="2">
        <f t="shared" si="1272"/>
        <v>0</v>
      </c>
      <c r="C920" s="2">
        <f t="shared" si="1273"/>
        <v>0</v>
      </c>
      <c r="D920" s="2">
        <f t="shared" si="1274"/>
        <v>0</v>
      </c>
      <c r="E920" s="27" t="str">
        <f t="shared" ref="E920" si="1285">IF(D874="","",MAX(E921,E922))</f>
        <v/>
      </c>
      <c r="F920" s="26"/>
      <c r="J920" s="1" t="str">
        <f t="shared" ref="J920" si="1286">CONCATENATE(J917,"3")</f>
        <v>33</v>
      </c>
      <c r="M920" s="1" t="e">
        <v>#VALUE!</v>
      </c>
      <c r="N920" s="1" t="e">
        <v>#VALUE!</v>
      </c>
      <c r="O920" s="1" t="e">
        <v>#VALUE!</v>
      </c>
      <c r="P920" s="1" t="e">
        <v>#VALUE!</v>
      </c>
      <c r="S920" s="1">
        <f t="shared" si="1229"/>
        <v>16</v>
      </c>
      <c r="T920" s="1">
        <v>249</v>
      </c>
    </row>
    <row r="921" spans="1:20" x14ac:dyDescent="0.3">
      <c r="A921" s="1">
        <f t="shared" si="1202"/>
        <v>16250</v>
      </c>
      <c r="B921" s="2">
        <f t="shared" si="1272"/>
        <v>0</v>
      </c>
      <c r="C921" s="2">
        <f t="shared" si="1273"/>
        <v>0</v>
      </c>
      <c r="D921" s="2">
        <f t="shared" si="1274"/>
        <v>0</v>
      </c>
      <c r="E921" s="28">
        <f t="shared" ref="E921" si="1287">ABS(MIN(D888:D902))</f>
        <v>0</v>
      </c>
      <c r="F921" s="26"/>
      <c r="J921" s="1">
        <f t="shared" ref="J921" si="1288">J917-1</f>
        <v>2</v>
      </c>
      <c r="N921" s="1" t="s">
        <v>3</v>
      </c>
      <c r="O921" s="1" t="s">
        <v>4</v>
      </c>
      <c r="P921" s="1" t="s">
        <v>5</v>
      </c>
      <c r="S921" s="1">
        <f t="shared" si="1229"/>
        <v>16</v>
      </c>
      <c r="T921" s="1">
        <v>250</v>
      </c>
    </row>
    <row r="922" spans="1:20" x14ac:dyDescent="0.3">
      <c r="A922" s="1">
        <f t="shared" si="1202"/>
        <v>16251</v>
      </c>
      <c r="B922" s="2">
        <f t="shared" si="1272"/>
        <v>0</v>
      </c>
      <c r="C922" s="2">
        <f t="shared" si="1273"/>
        <v>0</v>
      </c>
      <c r="D922" s="2">
        <f t="shared" si="1274"/>
        <v>0</v>
      </c>
      <c r="E922" s="28">
        <f t="shared" ref="E922" si="1289">ABS(MAX(D888:D902))</f>
        <v>0</v>
      </c>
      <c r="F922" s="26"/>
      <c r="J922" s="1" t="str">
        <f t="shared" ref="J922" si="1290">CONCATENATE(J921,"1")</f>
        <v>21</v>
      </c>
      <c r="N922" s="1" t="e">
        <f t="array" ref="N922:P924">LINEST($B888:$B891,$C888:$C891^{1,2},TRUE,TRUE)</f>
        <v>#VALUE!</v>
      </c>
      <c r="O922" s="1" t="e">
        <v>#VALUE!</v>
      </c>
      <c r="P922" s="1" t="e">
        <v>#VALUE!</v>
      </c>
      <c r="S922" s="1">
        <f t="shared" si="1229"/>
        <v>16</v>
      </c>
      <c r="T922" s="1">
        <v>251</v>
      </c>
    </row>
    <row r="923" spans="1:20" x14ac:dyDescent="0.3">
      <c r="A923" s="1">
        <f t="shared" si="1202"/>
        <v>16252</v>
      </c>
      <c r="B923" s="2">
        <f t="shared" si="1272"/>
        <v>0</v>
      </c>
      <c r="C923" s="2">
        <f t="shared" si="1273"/>
        <v>0</v>
      </c>
      <c r="D923" s="2">
        <f t="shared" si="1274"/>
        <v>0</v>
      </c>
      <c r="E923" s="26"/>
      <c r="F923" s="26"/>
      <c r="J923" s="1" t="str">
        <f t="shared" ref="J923" si="1291">CONCATENATE(J921,"2")</f>
        <v>22</v>
      </c>
      <c r="N923" s="1" t="e">
        <v>#VALUE!</v>
      </c>
      <c r="O923" s="1" t="e">
        <v>#VALUE!</v>
      </c>
      <c r="P923" s="1" t="e">
        <v>#VALUE!</v>
      </c>
      <c r="S923" s="1">
        <f t="shared" si="1229"/>
        <v>16</v>
      </c>
      <c r="T923" s="1">
        <v>252</v>
      </c>
    </row>
    <row r="924" spans="1:20" x14ac:dyDescent="0.3">
      <c r="A924" s="1">
        <f t="shared" si="1202"/>
        <v>16253</v>
      </c>
      <c r="B924" s="2">
        <f t="shared" si="1272"/>
        <v>0</v>
      </c>
      <c r="C924" s="2">
        <f t="shared" si="1273"/>
        <v>0</v>
      </c>
      <c r="D924" s="2">
        <f t="shared" si="1274"/>
        <v>0</v>
      </c>
      <c r="E924" s="26"/>
      <c r="F924" s="26"/>
      <c r="J924" s="1" t="str">
        <f t="shared" ref="J924" si="1292">CONCATENATE(J921,"3")</f>
        <v>23</v>
      </c>
      <c r="N924" s="1" t="e">
        <v>#VALUE!</v>
      </c>
      <c r="O924" s="1" t="e">
        <v>#VALUE!</v>
      </c>
      <c r="P924" s="1" t="e">
        <v>#VALUE!</v>
      </c>
      <c r="S924" s="1">
        <f t="shared" si="1229"/>
        <v>16</v>
      </c>
      <c r="T924" s="1">
        <v>253</v>
      </c>
    </row>
    <row r="925" spans="1:20" x14ac:dyDescent="0.3">
      <c r="A925" s="1">
        <f t="shared" si="1202"/>
        <v>16254</v>
      </c>
      <c r="B925" s="2">
        <f t="shared" si="1272"/>
        <v>0</v>
      </c>
      <c r="C925" s="2">
        <f t="shared" si="1273"/>
        <v>0</v>
      </c>
      <c r="D925" s="2">
        <f t="shared" si="1274"/>
        <v>0</v>
      </c>
      <c r="E925" s="26"/>
      <c r="F925" s="26"/>
      <c r="J925" s="1">
        <f t="shared" ref="J925" si="1293">J921-1</f>
        <v>1</v>
      </c>
      <c r="O925" s="1" t="s">
        <v>4</v>
      </c>
      <c r="P925" s="1" t="s">
        <v>5</v>
      </c>
      <c r="S925" s="1">
        <f t="shared" si="1229"/>
        <v>16</v>
      </c>
      <c r="T925" s="1">
        <v>254</v>
      </c>
    </row>
    <row r="926" spans="1:20" x14ac:dyDescent="0.3">
      <c r="A926" s="1">
        <f t="shared" si="1202"/>
        <v>16255</v>
      </c>
      <c r="B926" s="2">
        <f t="shared" si="1272"/>
        <v>0</v>
      </c>
      <c r="C926" s="2">
        <f t="shared" si="1273"/>
        <v>0</v>
      </c>
      <c r="D926" s="2">
        <f t="shared" si="1274"/>
        <v>0</v>
      </c>
      <c r="E926" s="26"/>
      <c r="F926" s="26"/>
      <c r="J926" s="1" t="str">
        <f t="shared" ref="J926" si="1294">CONCATENATE(J925,"1")</f>
        <v>11</v>
      </c>
      <c r="O926" s="1" t="e">
        <f t="array" ref="O926:P928">LINEST($B888:$B890,$C888:$C890^{1},TRUE,TRUE)</f>
        <v>#VALUE!</v>
      </c>
      <c r="P926" s="1" t="e">
        <v>#VALUE!</v>
      </c>
      <c r="S926" s="1">
        <f t="shared" si="1229"/>
        <v>16</v>
      </c>
      <c r="T926" s="1">
        <v>255</v>
      </c>
    </row>
    <row r="927" spans="1:20" x14ac:dyDescent="0.3">
      <c r="A927" s="1">
        <f t="shared" si="1202"/>
        <v>16256</v>
      </c>
      <c r="B927" s="2">
        <f t="shared" si="1272"/>
        <v>0</v>
      </c>
      <c r="C927" s="2">
        <f t="shared" si="1273"/>
        <v>0</v>
      </c>
      <c r="D927" s="2">
        <f t="shared" si="1274"/>
        <v>0</v>
      </c>
      <c r="E927" s="26"/>
      <c r="F927" s="26"/>
      <c r="J927" s="1" t="str">
        <f t="shared" ref="J927" si="1295">CONCATENATE(J925,"2")</f>
        <v>12</v>
      </c>
      <c r="O927" s="1" t="e">
        <v>#VALUE!</v>
      </c>
      <c r="P927" s="1" t="e">
        <v>#VALUE!</v>
      </c>
      <c r="S927" s="1">
        <f t="shared" si="1229"/>
        <v>16</v>
      </c>
      <c r="T927" s="1">
        <v>256</v>
      </c>
    </row>
    <row r="928" spans="1:20" x14ac:dyDescent="0.3">
      <c r="A928" s="1">
        <f t="shared" si="1202"/>
        <v>16257</v>
      </c>
      <c r="B928" s="2">
        <f t="shared" si="1272"/>
        <v>0</v>
      </c>
      <c r="C928" s="2">
        <f t="shared" si="1273"/>
        <v>0</v>
      </c>
      <c r="D928" s="2">
        <f t="shared" si="1274"/>
        <v>0</v>
      </c>
      <c r="E928" s="30"/>
      <c r="F928" s="30"/>
      <c r="J928" s="1" t="str">
        <f t="shared" ref="J928" si="1296">CONCATENATE(J925,"3")</f>
        <v>13</v>
      </c>
      <c r="O928" s="1" t="e">
        <v>#VALUE!</v>
      </c>
      <c r="P928" s="1" t="e">
        <v>#VALUE!</v>
      </c>
      <c r="S928" s="1">
        <f t="shared" si="1229"/>
        <v>16</v>
      </c>
      <c r="T928" s="1">
        <v>257</v>
      </c>
    </row>
    <row r="929" spans="1:20" s="8" customFormat="1" x14ac:dyDescent="0.3"/>
    <row r="930" spans="1:20" x14ac:dyDescent="0.3">
      <c r="A930" s="1">
        <f t="shared" ref="A930:A986" si="1297">ROUND(CONCATENATE(S930,T930),0)</f>
        <v>17201</v>
      </c>
      <c r="B930" s="57" t="s">
        <v>0</v>
      </c>
      <c r="C930" s="57"/>
      <c r="D930" s="56" t="s">
        <v>46</v>
      </c>
      <c r="E930" s="56"/>
      <c r="F930" s="56"/>
      <c r="G930" s="56"/>
      <c r="H930" s="56"/>
      <c r="L930" s="1">
        <v>1</v>
      </c>
      <c r="M930" s="1">
        <v>2</v>
      </c>
      <c r="N930" s="1">
        <v>3</v>
      </c>
      <c r="O930" s="1">
        <v>4</v>
      </c>
      <c r="P930" s="1">
        <v>5</v>
      </c>
      <c r="Q930" s="1">
        <v>6</v>
      </c>
      <c r="R930" s="1">
        <v>7</v>
      </c>
      <c r="S930" s="1">
        <f t="shared" ref="S930" si="1298">S928+1</f>
        <v>17</v>
      </c>
      <c r="T930" s="1">
        <v>201</v>
      </c>
    </row>
    <row r="931" spans="1:20" x14ac:dyDescent="0.3">
      <c r="A931" s="1">
        <f t="shared" si="1297"/>
        <v>17202</v>
      </c>
      <c r="B931" s="57"/>
      <c r="C931" s="57"/>
      <c r="D931" s="57"/>
      <c r="E931" s="57"/>
      <c r="F931" s="57"/>
      <c r="G931" s="57"/>
      <c r="H931" s="57"/>
      <c r="K931" s="2" t="s">
        <v>1</v>
      </c>
      <c r="L931" s="2"/>
      <c r="M931" s="2" t="s">
        <v>2</v>
      </c>
      <c r="N931" s="2" t="s">
        <v>3</v>
      </c>
      <c r="O931" s="2" t="s">
        <v>4</v>
      </c>
      <c r="P931" s="2" t="s">
        <v>5</v>
      </c>
      <c r="S931" s="1">
        <f t="shared" ref="S931" si="1299">S930</f>
        <v>17</v>
      </c>
      <c r="T931" s="1">
        <v>202</v>
      </c>
    </row>
    <row r="932" spans="1:20" x14ac:dyDescent="0.3">
      <c r="A932" s="1">
        <f t="shared" si="1297"/>
        <v>17203</v>
      </c>
      <c r="B932" s="64" t="s">
        <v>6</v>
      </c>
      <c r="C932" s="64"/>
      <c r="D932" s="56" t="s">
        <v>137</v>
      </c>
      <c r="E932" s="56"/>
      <c r="F932" s="56"/>
      <c r="G932" s="56"/>
      <c r="H932" s="56"/>
      <c r="K932" s="3">
        <f t="shared" ref="K932" si="1300">IF(K934&gt;=3,N934,LOOKUP(15-($B961+1),M930:R930,M934:P934))</f>
        <v>3.4642957129513263E-2</v>
      </c>
      <c r="L932" s="2" t="str">
        <f t="shared" ref="L932" si="1301">CONCATENATE($B961,"1")</f>
        <v>61</v>
      </c>
      <c r="M932" s="2">
        <f t="shared" ref="M932" si="1302">VLOOKUP(L932,J935:P986,O930,FALSE)</f>
        <v>6.29310529764046E-9</v>
      </c>
      <c r="N932" s="2">
        <f t="shared" ref="N932" si="1303">VLOOKUP(L932,J935:P986,P930,FALSE)</f>
        <v>-1.6567825201869858E-5</v>
      </c>
      <c r="O932" s="2">
        <f t="shared" ref="O932" si="1304">VLOOKUP(L932,J935:P986,Q930,FALSE)</f>
        <v>1.0138683994396074</v>
      </c>
      <c r="P932" s="2">
        <f t="shared" ref="P932" si="1305">VLOOKUP(L932,J935:P986,R930,FALSE)</f>
        <v>-3.7892158383123666</v>
      </c>
      <c r="S932" s="1">
        <f t="shared" si="1229"/>
        <v>17</v>
      </c>
      <c r="T932" s="1">
        <v>203</v>
      </c>
    </row>
    <row r="933" spans="1:20" x14ac:dyDescent="0.3">
      <c r="A933" s="1">
        <f t="shared" si="1297"/>
        <v>17204</v>
      </c>
      <c r="B933" s="57" t="s">
        <v>7</v>
      </c>
      <c r="C933" s="57"/>
      <c r="D933" s="56" t="s">
        <v>98</v>
      </c>
      <c r="E933" s="56"/>
      <c r="F933" s="56"/>
      <c r="G933" s="56"/>
      <c r="H933" s="56"/>
      <c r="K933" s="2" t="s">
        <v>8</v>
      </c>
      <c r="L933" s="2" t="str">
        <f t="shared" ref="L933" si="1306">CONCATENATE($B961,"2")</f>
        <v>62</v>
      </c>
      <c r="M933" s="2">
        <f t="shared" ref="M933" si="1307">VLOOKUP(L933,J935:P986,O930,FALSE)</f>
        <v>2.1758430245174244E-9</v>
      </c>
      <c r="N933" s="2">
        <f t="shared" ref="N933" si="1308">VLOOKUP(L933,J935:P986,P930,FALSE)</f>
        <v>5.2645709302653472E-6</v>
      </c>
      <c r="O933" s="2">
        <f t="shared" ref="O933" si="1309">VLOOKUP(L933,J935:P986,Q930,FALSE)</f>
        <v>4.1229465937096888E-3</v>
      </c>
      <c r="P933" s="2">
        <f t="shared" ref="P933" si="1310">VLOOKUP(L933,J935:P986,R930,FALSE)</f>
        <v>1.0393434763229947</v>
      </c>
      <c r="S933" s="1">
        <f t="shared" si="1229"/>
        <v>17</v>
      </c>
      <c r="T933" s="1">
        <v>204</v>
      </c>
    </row>
    <row r="934" spans="1:20" x14ac:dyDescent="0.3">
      <c r="A934" s="1">
        <f t="shared" si="1297"/>
        <v>17205</v>
      </c>
      <c r="B934" s="57" t="s">
        <v>9</v>
      </c>
      <c r="C934" s="57"/>
      <c r="D934" s="56" t="s">
        <v>91</v>
      </c>
      <c r="E934" s="56"/>
      <c r="F934" s="56"/>
      <c r="G934" s="56"/>
      <c r="H934" s="56"/>
      <c r="K934" s="3">
        <f t="shared" ref="K934" si="1311">IF(B961&gt;3,3,B961)</f>
        <v>3</v>
      </c>
      <c r="L934" s="2" t="str">
        <f t="shared" ref="L934" si="1312">CONCATENATE($B961,"3")</f>
        <v>63</v>
      </c>
      <c r="M934" s="2">
        <f t="shared" ref="M934" si="1313">VLOOKUP(L934,J935:P986,O930,FALSE)</f>
        <v>0.99999998394331535</v>
      </c>
      <c r="N934" s="2">
        <f t="shared" ref="N934" si="1314">VLOOKUP(L934,J935:P986,P930,FALSE)</f>
        <v>3.4642957129513263E-2</v>
      </c>
      <c r="O934" s="2" t="e">
        <f t="shared" ref="O934" si="1315">VLOOKUP(L934,J935:P986,Q930,FALSE)</f>
        <v>#N/A</v>
      </c>
      <c r="P934" s="2" t="e">
        <f t="shared" ref="P934" si="1316">VLOOKUP(L934,J935:P986,R930,FALSE)</f>
        <v>#N/A</v>
      </c>
      <c r="S934" s="1">
        <f t="shared" si="1229"/>
        <v>17</v>
      </c>
      <c r="T934" s="1">
        <v>205</v>
      </c>
    </row>
    <row r="935" spans="1:20" x14ac:dyDescent="0.3">
      <c r="A935" s="1">
        <f t="shared" si="1297"/>
        <v>17206</v>
      </c>
      <c r="B935" s="57" t="s">
        <v>10</v>
      </c>
      <c r="C935" s="57"/>
      <c r="D935" s="62" t="s">
        <v>136</v>
      </c>
      <c r="E935" s="56"/>
      <c r="F935" s="56"/>
      <c r="G935" s="56"/>
      <c r="H935" s="56"/>
      <c r="J935" s="1">
        <v>13</v>
      </c>
      <c r="M935" s="1" t="s">
        <v>2</v>
      </c>
      <c r="N935" s="1" t="s">
        <v>3</v>
      </c>
      <c r="O935" s="1" t="s">
        <v>4</v>
      </c>
      <c r="P935" s="1" t="s">
        <v>5</v>
      </c>
      <c r="S935" s="1">
        <f t="shared" si="1229"/>
        <v>17</v>
      </c>
      <c r="T935" s="1">
        <v>206</v>
      </c>
    </row>
    <row r="936" spans="1:20" x14ac:dyDescent="0.3">
      <c r="A936" s="1">
        <f t="shared" si="1297"/>
        <v>17207</v>
      </c>
      <c r="B936" s="57" t="s">
        <v>11</v>
      </c>
      <c r="C936" s="57"/>
      <c r="D936" s="63">
        <v>45777</v>
      </c>
      <c r="E936" s="63"/>
      <c r="F936" s="63"/>
      <c r="G936" s="63"/>
      <c r="H936" s="63"/>
      <c r="J936" s="1" t="str">
        <f t="shared" ref="J936" si="1317">CONCATENATE(J935,"1")</f>
        <v>131</v>
      </c>
      <c r="M936" s="1" t="e">
        <f t="array" ref="M936:P938">LINEST($B946:$B960,$C946:$C960^{1,2,3},TRUE,TRUE)</f>
        <v>#VALUE!</v>
      </c>
      <c r="N936" s="1" t="e">
        <v>#VALUE!</v>
      </c>
      <c r="O936" s="1" t="e">
        <v>#VALUE!</v>
      </c>
      <c r="P936" s="1" t="e">
        <v>#VALUE!</v>
      </c>
      <c r="S936" s="1">
        <f t="shared" si="1229"/>
        <v>17</v>
      </c>
      <c r="T936" s="1">
        <v>207</v>
      </c>
    </row>
    <row r="937" spans="1:20" x14ac:dyDescent="0.3">
      <c r="A937" s="1">
        <f t="shared" si="1297"/>
        <v>17208</v>
      </c>
      <c r="B937" s="57" t="s">
        <v>12</v>
      </c>
      <c r="C937" s="57"/>
      <c r="D937" s="58">
        <v>46507</v>
      </c>
      <c r="E937" s="58"/>
      <c r="F937" s="58"/>
      <c r="G937" s="58"/>
      <c r="H937" s="58"/>
      <c r="J937" s="1" t="str">
        <f t="shared" ref="J937" si="1318">CONCATENATE(J935,"2")</f>
        <v>132</v>
      </c>
      <c r="M937" s="1" t="e">
        <v>#VALUE!</v>
      </c>
      <c r="N937" s="1" t="e">
        <v>#VALUE!</v>
      </c>
      <c r="O937" s="1" t="e">
        <v>#VALUE!</v>
      </c>
      <c r="P937" s="1" t="e">
        <v>#VALUE!</v>
      </c>
      <c r="S937" s="1">
        <f t="shared" si="1229"/>
        <v>17</v>
      </c>
      <c r="T937" s="1">
        <v>208</v>
      </c>
    </row>
    <row r="938" spans="1:20" x14ac:dyDescent="0.3">
      <c r="A938" s="1">
        <f t="shared" si="1297"/>
        <v>17209</v>
      </c>
      <c r="B938" s="57" t="s">
        <v>13</v>
      </c>
      <c r="C938" s="57"/>
      <c r="D938" s="9">
        <v>0.1</v>
      </c>
      <c r="E938" s="54" t="s">
        <v>14</v>
      </c>
      <c r="F938" s="54"/>
      <c r="G938" s="54"/>
      <c r="H938" s="9" t="s">
        <v>59</v>
      </c>
      <c r="J938" s="1" t="str">
        <f t="shared" ref="J938" si="1319">CONCATENATE(J935,"3")</f>
        <v>133</v>
      </c>
      <c r="M938" s="1" t="e">
        <v>#VALUE!</v>
      </c>
      <c r="N938" s="1" t="e">
        <v>#VALUE!</v>
      </c>
      <c r="O938" s="1" t="e">
        <v>#VALUE!</v>
      </c>
      <c r="P938" s="1" t="e">
        <v>#VALUE!</v>
      </c>
      <c r="S938" s="1">
        <f t="shared" si="1229"/>
        <v>17</v>
      </c>
      <c r="T938" s="1">
        <v>209</v>
      </c>
    </row>
    <row r="939" spans="1:20" x14ac:dyDescent="0.3">
      <c r="A939" s="1">
        <f t="shared" si="1297"/>
        <v>17210</v>
      </c>
      <c r="B939" s="57" t="s">
        <v>15</v>
      </c>
      <c r="C939" s="57"/>
      <c r="D939" s="2">
        <f t="shared" ref="D939" si="1320">MIN(B946:B960)</f>
        <v>500.8</v>
      </c>
      <c r="E939" s="4" t="s">
        <v>16</v>
      </c>
      <c r="F939" s="2">
        <f t="shared" ref="F939" si="1321">MAX(B946:B960)</f>
        <v>1099.8</v>
      </c>
      <c r="G939" s="5" t="str">
        <f t="shared" ref="G939" si="1322">IF(H938="","",H938)</f>
        <v>hPa</v>
      </c>
      <c r="H939" s="23"/>
      <c r="J939" s="1">
        <f t="shared" ref="J939" si="1323">J935-1</f>
        <v>12</v>
      </c>
      <c r="M939" s="1" t="s">
        <v>2</v>
      </c>
      <c r="N939" s="1" t="s">
        <v>3</v>
      </c>
      <c r="O939" s="1" t="s">
        <v>4</v>
      </c>
      <c r="P939" s="1" t="s">
        <v>5</v>
      </c>
      <c r="S939" s="1">
        <f t="shared" si="1229"/>
        <v>17</v>
      </c>
      <c r="T939" s="1">
        <v>210</v>
      </c>
    </row>
    <row r="940" spans="1:20" x14ac:dyDescent="0.3">
      <c r="A940" s="1">
        <f t="shared" si="1297"/>
        <v>17211</v>
      </c>
      <c r="J940" s="1" t="str">
        <f t="shared" ref="J940" si="1324">CONCATENATE(J939,"1")</f>
        <v>121</v>
      </c>
      <c r="M940" s="1" t="e">
        <f t="array" ref="M940:P942">LINEST($B946:$B959,$C946:$C959^{1,2,3},TRUE,TRUE)</f>
        <v>#VALUE!</v>
      </c>
      <c r="N940" s="1" t="e">
        <v>#VALUE!</v>
      </c>
      <c r="O940" s="1" t="e">
        <v>#VALUE!</v>
      </c>
      <c r="P940" s="1" t="e">
        <v>#VALUE!</v>
      </c>
      <c r="S940" s="1">
        <f t="shared" si="1229"/>
        <v>17</v>
      </c>
      <c r="T940" s="1">
        <v>211</v>
      </c>
    </row>
    <row r="941" spans="1:20" x14ac:dyDescent="0.3">
      <c r="A941" s="1">
        <f t="shared" si="1297"/>
        <v>17212</v>
      </c>
      <c r="B941" s="59" t="s">
        <v>17</v>
      </c>
      <c r="C941" s="59"/>
      <c r="D941" s="59"/>
      <c r="E941" s="59"/>
      <c r="F941" s="59"/>
      <c r="G941" s="60" t="s">
        <v>29</v>
      </c>
      <c r="H941" s="61"/>
      <c r="J941" s="1" t="str">
        <f t="shared" ref="J941" si="1325">CONCATENATE(J939,"2")</f>
        <v>122</v>
      </c>
      <c r="M941" s="1" t="e">
        <v>#VALUE!</v>
      </c>
      <c r="N941" s="1" t="e">
        <v>#VALUE!</v>
      </c>
      <c r="O941" s="1" t="e">
        <v>#VALUE!</v>
      </c>
      <c r="P941" s="1" t="e">
        <v>#VALUE!</v>
      </c>
      <c r="S941" s="1">
        <f t="shared" si="1229"/>
        <v>17</v>
      </c>
      <c r="T941" s="1">
        <v>212</v>
      </c>
    </row>
    <row r="942" spans="1:20" x14ac:dyDescent="0.3">
      <c r="A942" s="1">
        <f t="shared" si="1297"/>
        <v>17213</v>
      </c>
      <c r="B942" s="54" t="s">
        <v>18</v>
      </c>
      <c r="C942" s="54"/>
      <c r="D942" s="54"/>
      <c r="E942" s="54" t="str">
        <f t="shared" ref="E942" si="1326">IF(D935="","",D935)</f>
        <v>E0226/25</v>
      </c>
      <c r="F942" s="54"/>
      <c r="G942" s="5" t="s">
        <v>18</v>
      </c>
      <c r="H942" s="20"/>
      <c r="J942" s="1" t="str">
        <f t="shared" ref="J942" si="1327">CONCATENATE(J939,"3")</f>
        <v>123</v>
      </c>
      <c r="M942" s="1" t="e">
        <v>#VALUE!</v>
      </c>
      <c r="N942" s="1" t="e">
        <v>#VALUE!</v>
      </c>
      <c r="O942" s="1" t="e">
        <v>#VALUE!</v>
      </c>
      <c r="P942" s="1" t="e">
        <v>#VALUE!</v>
      </c>
      <c r="S942" s="1">
        <f t="shared" si="1229"/>
        <v>17</v>
      </c>
      <c r="T942" s="1">
        <v>213</v>
      </c>
    </row>
    <row r="943" spans="1:20" ht="15" customHeight="1" x14ac:dyDescent="0.3">
      <c r="A943" s="1">
        <f t="shared" si="1297"/>
        <v>17214</v>
      </c>
      <c r="B943" s="6" t="s">
        <v>19</v>
      </c>
      <c r="C943" s="6" t="s">
        <v>20</v>
      </c>
      <c r="D943" s="6" t="s">
        <v>21</v>
      </c>
      <c r="E943" s="6"/>
      <c r="F943" s="55" t="s">
        <v>31</v>
      </c>
      <c r="G943" s="6" t="s">
        <v>19</v>
      </c>
      <c r="H943" s="6" t="s">
        <v>20</v>
      </c>
      <c r="J943" s="1">
        <f t="shared" ref="J943" si="1328">J939-1</f>
        <v>11</v>
      </c>
      <c r="M943" s="1" t="s">
        <v>2</v>
      </c>
      <c r="N943" s="1" t="s">
        <v>3</v>
      </c>
      <c r="O943" s="1" t="s">
        <v>4</v>
      </c>
      <c r="P943" s="1" t="s">
        <v>5</v>
      </c>
      <c r="S943" s="1">
        <f t="shared" si="1229"/>
        <v>17</v>
      </c>
      <c r="T943" s="1">
        <v>214</v>
      </c>
    </row>
    <row r="944" spans="1:20" x14ac:dyDescent="0.3">
      <c r="A944" s="1">
        <f t="shared" si="1297"/>
        <v>17215</v>
      </c>
      <c r="B944" s="6" t="s">
        <v>22</v>
      </c>
      <c r="C944" s="6" t="s">
        <v>23</v>
      </c>
      <c r="D944" s="6" t="s">
        <v>24</v>
      </c>
      <c r="E944" s="6" t="s">
        <v>30</v>
      </c>
      <c r="F944" s="55"/>
      <c r="G944" s="6" t="s">
        <v>22</v>
      </c>
      <c r="H944" s="6" t="s">
        <v>23</v>
      </c>
      <c r="J944" s="1" t="str">
        <f t="shared" ref="J944" si="1329">CONCATENATE(J943,"1")</f>
        <v>111</v>
      </c>
      <c r="M944" s="1" t="e">
        <f t="array" ref="M944:P946">LINEST($B946:$B958,$C946:$C958^{1,2,3},TRUE,TRUE)</f>
        <v>#VALUE!</v>
      </c>
      <c r="N944" s="1" t="e">
        <v>#VALUE!</v>
      </c>
      <c r="O944" s="1" t="e">
        <v>#VALUE!</v>
      </c>
      <c r="P944" s="1" t="e">
        <v>#VALUE!</v>
      </c>
      <c r="S944" s="1">
        <f t="shared" si="1229"/>
        <v>17</v>
      </c>
      <c r="T944" s="1">
        <v>215</v>
      </c>
    </row>
    <row r="945" spans="1:20" x14ac:dyDescent="0.3">
      <c r="A945" s="1">
        <f t="shared" si="1297"/>
        <v>17216</v>
      </c>
      <c r="B945" s="7" t="str">
        <f t="shared" ref="B945" si="1330">IF(H938="","",H938)</f>
        <v>hPa</v>
      </c>
      <c r="C945" s="7" t="str">
        <f t="shared" ref="C945" si="1331">IF(H938="","",H938)</f>
        <v>hPa</v>
      </c>
      <c r="D945" s="7" t="str">
        <f t="shared" ref="D945" si="1332">IF(H938="","",H938)</f>
        <v>hPa</v>
      </c>
      <c r="E945" s="7"/>
      <c r="F945" s="7" t="str">
        <f t="shared" ref="F945" si="1333">IF(I938="","",I938)</f>
        <v/>
      </c>
      <c r="G945" s="7" t="str">
        <f t="shared" ref="G945" si="1334">IF(H938="","",H938)</f>
        <v>hPa</v>
      </c>
      <c r="H945" s="7" t="str">
        <f t="shared" ref="H945" si="1335">IF(H938="","",H938)</f>
        <v>hPa</v>
      </c>
      <c r="J945" s="1" t="str">
        <f t="shared" ref="J945" si="1336">CONCATENATE(J943,"2")</f>
        <v>112</v>
      </c>
      <c r="M945" s="1" t="e">
        <v>#VALUE!</v>
      </c>
      <c r="N945" s="1" t="e">
        <v>#VALUE!</v>
      </c>
      <c r="O945" s="1" t="e">
        <v>#VALUE!</v>
      </c>
      <c r="P945" s="1" t="e">
        <v>#VALUE!</v>
      </c>
      <c r="S945" s="1">
        <f t="shared" ref="S945:S1008" si="1337">S944</f>
        <v>17</v>
      </c>
      <c r="T945" s="1">
        <v>216</v>
      </c>
    </row>
    <row r="946" spans="1:20" x14ac:dyDescent="0.3">
      <c r="A946" s="1">
        <f t="shared" si="1297"/>
        <v>17217</v>
      </c>
      <c r="B946" s="24">
        <v>500.8</v>
      </c>
      <c r="C946" s="24">
        <v>501</v>
      </c>
      <c r="D946" s="24">
        <v>0.2</v>
      </c>
      <c r="E946" s="24">
        <v>2</v>
      </c>
      <c r="F946" s="24">
        <v>1000000</v>
      </c>
      <c r="G946" s="25"/>
      <c r="H946" s="25"/>
      <c r="J946" s="1" t="str">
        <f t="shared" ref="J946" si="1338">CONCATENATE(J943,"3")</f>
        <v>113</v>
      </c>
      <c r="M946" s="1" t="e">
        <v>#VALUE!</v>
      </c>
      <c r="N946" s="1" t="e">
        <v>#VALUE!</v>
      </c>
      <c r="O946" s="1" t="e">
        <v>#VALUE!</v>
      </c>
      <c r="P946" s="1" t="e">
        <v>#VALUE!</v>
      </c>
      <c r="S946" s="1">
        <f t="shared" si="1337"/>
        <v>17</v>
      </c>
      <c r="T946" s="1">
        <v>217</v>
      </c>
    </row>
    <row r="947" spans="1:20" x14ac:dyDescent="0.3">
      <c r="A947" s="1">
        <f t="shared" si="1297"/>
        <v>17218</v>
      </c>
      <c r="B947" s="24">
        <v>599.9</v>
      </c>
      <c r="C947" s="24">
        <v>600</v>
      </c>
      <c r="D947" s="24">
        <v>0.2</v>
      </c>
      <c r="E947" s="24">
        <v>2</v>
      </c>
      <c r="F947" s="24">
        <v>1000000</v>
      </c>
      <c r="G947" s="25"/>
      <c r="H947" s="25"/>
      <c r="J947" s="1">
        <f t="shared" ref="J947" si="1339">J943-1</f>
        <v>10</v>
      </c>
      <c r="M947" s="1" t="s">
        <v>2</v>
      </c>
      <c r="N947" s="1" t="s">
        <v>3</v>
      </c>
      <c r="O947" s="1" t="s">
        <v>4</v>
      </c>
      <c r="P947" s="1" t="s">
        <v>5</v>
      </c>
      <c r="S947" s="1">
        <f t="shared" si="1337"/>
        <v>17</v>
      </c>
      <c r="T947" s="1">
        <v>218</v>
      </c>
    </row>
    <row r="948" spans="1:20" x14ac:dyDescent="0.3">
      <c r="A948" s="1">
        <f t="shared" si="1297"/>
        <v>17219</v>
      </c>
      <c r="B948" s="24">
        <v>699.99</v>
      </c>
      <c r="C948" s="24">
        <v>700</v>
      </c>
      <c r="D948" s="24">
        <v>0.2</v>
      </c>
      <c r="E948" s="24">
        <v>2</v>
      </c>
      <c r="F948" s="24">
        <v>1000000</v>
      </c>
      <c r="G948" s="25"/>
      <c r="H948" s="25"/>
      <c r="J948" s="1" t="str">
        <f t="shared" ref="J948" si="1340">CONCATENATE(J947,"1")</f>
        <v>101</v>
      </c>
      <c r="M948" s="1" t="e">
        <f t="array" ref="M948:P950">LINEST($B946:$B957,$C946:$C957^{1,2,3},TRUE,TRUE)</f>
        <v>#VALUE!</v>
      </c>
      <c r="N948" s="1" t="e">
        <v>#VALUE!</v>
      </c>
      <c r="O948" s="1" t="e">
        <v>#VALUE!</v>
      </c>
      <c r="P948" s="1" t="e">
        <v>#VALUE!</v>
      </c>
      <c r="S948" s="1">
        <f t="shared" si="1337"/>
        <v>17</v>
      </c>
      <c r="T948" s="1">
        <v>219</v>
      </c>
    </row>
    <row r="949" spans="1:20" x14ac:dyDescent="0.3">
      <c r="A949" s="1">
        <f t="shared" si="1297"/>
        <v>17220</v>
      </c>
      <c r="B949" s="24">
        <v>799.9</v>
      </c>
      <c r="C949" s="24">
        <v>800</v>
      </c>
      <c r="D949" s="24">
        <v>0.2</v>
      </c>
      <c r="E949" s="24">
        <v>2</v>
      </c>
      <c r="F949" s="24">
        <v>1000000</v>
      </c>
      <c r="G949" s="25"/>
      <c r="H949" s="25"/>
      <c r="J949" s="1" t="str">
        <f t="shared" ref="J949" si="1341">CONCATENATE(J947,"2")</f>
        <v>102</v>
      </c>
      <c r="M949" s="1" t="e">
        <v>#VALUE!</v>
      </c>
      <c r="N949" s="1" t="e">
        <v>#VALUE!</v>
      </c>
      <c r="O949" s="1" t="e">
        <v>#VALUE!</v>
      </c>
      <c r="P949" s="1" t="e">
        <v>#VALUE!</v>
      </c>
      <c r="S949" s="1">
        <f t="shared" si="1337"/>
        <v>17</v>
      </c>
      <c r="T949" s="1">
        <v>220</v>
      </c>
    </row>
    <row r="950" spans="1:20" x14ac:dyDescent="0.3">
      <c r="A950" s="1">
        <f t="shared" si="1297"/>
        <v>17221</v>
      </c>
      <c r="B950" s="24">
        <v>899.9</v>
      </c>
      <c r="C950" s="24">
        <v>900</v>
      </c>
      <c r="D950" s="24">
        <v>0.2</v>
      </c>
      <c r="E950" s="24">
        <v>2</v>
      </c>
      <c r="F950" s="24">
        <v>1000000</v>
      </c>
      <c r="G950" s="25"/>
      <c r="H950" s="25"/>
      <c r="J950" s="1" t="str">
        <f t="shared" ref="J950" si="1342">CONCATENATE(J947,"3")</f>
        <v>103</v>
      </c>
      <c r="M950" s="1" t="e">
        <v>#VALUE!</v>
      </c>
      <c r="N950" s="1" t="e">
        <v>#VALUE!</v>
      </c>
      <c r="O950" s="1" t="e">
        <v>#VALUE!</v>
      </c>
      <c r="P950" s="1" t="e">
        <v>#VALUE!</v>
      </c>
      <c r="S950" s="1">
        <f t="shared" si="1337"/>
        <v>17</v>
      </c>
      <c r="T950" s="1">
        <v>221</v>
      </c>
    </row>
    <row r="951" spans="1:20" x14ac:dyDescent="0.3">
      <c r="A951" s="1">
        <f t="shared" si="1297"/>
        <v>17222</v>
      </c>
      <c r="B951" s="24">
        <v>949.8</v>
      </c>
      <c r="C951" s="24">
        <v>950</v>
      </c>
      <c r="D951" s="24">
        <v>0.2</v>
      </c>
      <c r="E951" s="24">
        <v>2</v>
      </c>
      <c r="F951" s="24">
        <v>1000000</v>
      </c>
      <c r="G951" s="25"/>
      <c r="H951" s="25"/>
      <c r="J951" s="1">
        <f t="shared" ref="J951" si="1343">J947-1</f>
        <v>9</v>
      </c>
      <c r="M951" s="1" t="s">
        <v>2</v>
      </c>
      <c r="N951" s="1" t="s">
        <v>3</v>
      </c>
      <c r="O951" s="1" t="s">
        <v>4</v>
      </c>
      <c r="P951" s="1" t="s">
        <v>5</v>
      </c>
      <c r="S951" s="1">
        <f t="shared" si="1337"/>
        <v>17</v>
      </c>
      <c r="T951" s="1">
        <v>222</v>
      </c>
    </row>
    <row r="952" spans="1:20" x14ac:dyDescent="0.3">
      <c r="A952" s="1">
        <f t="shared" si="1297"/>
        <v>17223</v>
      </c>
      <c r="B952" s="24">
        <v>999.8</v>
      </c>
      <c r="C952" s="24">
        <v>1000</v>
      </c>
      <c r="D952" s="24">
        <v>0.2</v>
      </c>
      <c r="E952" s="24">
        <v>2</v>
      </c>
      <c r="F952" s="24">
        <v>1000000</v>
      </c>
      <c r="G952" s="25"/>
      <c r="H952" s="25"/>
      <c r="J952" s="1" t="str">
        <f t="shared" ref="J952" si="1344">CONCATENATE(J951,"1")</f>
        <v>91</v>
      </c>
      <c r="M952" s="1" t="e">
        <f t="array" ref="M952:P954">LINEST($B946:$B956,$C946:$C956^{1,2,3},TRUE,TRUE)</f>
        <v>#VALUE!</v>
      </c>
      <c r="N952" s="1" t="e">
        <v>#VALUE!</v>
      </c>
      <c r="O952" s="1" t="e">
        <v>#VALUE!</v>
      </c>
      <c r="P952" s="1" t="e">
        <v>#VALUE!</v>
      </c>
      <c r="S952" s="1">
        <f t="shared" si="1337"/>
        <v>17</v>
      </c>
      <c r="T952" s="1">
        <v>223</v>
      </c>
    </row>
    <row r="953" spans="1:20" x14ac:dyDescent="0.3">
      <c r="A953" s="1">
        <f t="shared" si="1297"/>
        <v>17224</v>
      </c>
      <c r="B953" s="24">
        <v>1099.8</v>
      </c>
      <c r="C953" s="24">
        <v>1100</v>
      </c>
      <c r="D953" s="24">
        <v>0.2</v>
      </c>
      <c r="E953" s="24">
        <v>2</v>
      </c>
      <c r="F953" s="24">
        <v>1000000</v>
      </c>
      <c r="G953" s="25"/>
      <c r="H953" s="25"/>
      <c r="J953" s="1" t="str">
        <f t="shared" ref="J953" si="1345">CONCATENATE(J951,"2")</f>
        <v>92</v>
      </c>
      <c r="M953" s="1" t="e">
        <v>#VALUE!</v>
      </c>
      <c r="N953" s="1" t="e">
        <v>#VALUE!</v>
      </c>
      <c r="O953" s="1" t="e">
        <v>#VALUE!</v>
      </c>
      <c r="P953" s="1" t="e">
        <v>#VALUE!</v>
      </c>
      <c r="S953" s="1">
        <f t="shared" si="1337"/>
        <v>17</v>
      </c>
      <c r="T953" s="1">
        <v>224</v>
      </c>
    </row>
    <row r="954" spans="1:20" x14ac:dyDescent="0.3">
      <c r="A954" s="1">
        <f t="shared" si="1297"/>
        <v>17225</v>
      </c>
      <c r="B954" s="24"/>
      <c r="C954" s="24"/>
      <c r="D954" s="24"/>
      <c r="E954" s="24"/>
      <c r="F954" s="24"/>
      <c r="G954" s="25"/>
      <c r="H954" s="25"/>
      <c r="J954" s="1" t="str">
        <f t="shared" ref="J954" si="1346">CONCATENATE(J951,"3")</f>
        <v>93</v>
      </c>
      <c r="M954" s="1" t="e">
        <v>#VALUE!</v>
      </c>
      <c r="N954" s="1" t="e">
        <v>#VALUE!</v>
      </c>
      <c r="O954" s="1" t="e">
        <v>#VALUE!</v>
      </c>
      <c r="P954" s="1" t="e">
        <v>#VALUE!</v>
      </c>
      <c r="S954" s="1">
        <f t="shared" si="1337"/>
        <v>17</v>
      </c>
      <c r="T954" s="1">
        <v>225</v>
      </c>
    </row>
    <row r="955" spans="1:20" x14ac:dyDescent="0.3">
      <c r="A955" s="1">
        <f t="shared" si="1297"/>
        <v>17226</v>
      </c>
      <c r="B955" s="24"/>
      <c r="C955" s="24"/>
      <c r="D955" s="24"/>
      <c r="E955" s="24"/>
      <c r="F955" s="24"/>
      <c r="G955" s="25"/>
      <c r="H955" s="25"/>
      <c r="J955" s="1">
        <f t="shared" ref="J955" si="1347">J951-1</f>
        <v>8</v>
      </c>
      <c r="M955" s="1" t="s">
        <v>2</v>
      </c>
      <c r="N955" s="1" t="s">
        <v>3</v>
      </c>
      <c r="O955" s="1" t="s">
        <v>4</v>
      </c>
      <c r="P955" s="1" t="s">
        <v>5</v>
      </c>
      <c r="S955" s="1">
        <f t="shared" si="1337"/>
        <v>17</v>
      </c>
      <c r="T955" s="1">
        <v>226</v>
      </c>
    </row>
    <row r="956" spans="1:20" x14ac:dyDescent="0.3">
      <c r="A956" s="1">
        <f t="shared" si="1297"/>
        <v>17227</v>
      </c>
      <c r="B956" s="24"/>
      <c r="C956" s="24"/>
      <c r="D956" s="24"/>
      <c r="E956" s="24"/>
      <c r="F956" s="24"/>
      <c r="G956" s="25"/>
      <c r="H956" s="25"/>
      <c r="J956" s="1" t="str">
        <f t="shared" ref="J956" si="1348">CONCATENATE(J955,"1")</f>
        <v>81</v>
      </c>
      <c r="M956" s="1" t="e">
        <f t="array" ref="M956:P958">LINEST($B946:$B955,$C946:$C955^{1,2,3},TRUE,TRUE)</f>
        <v>#VALUE!</v>
      </c>
      <c r="N956" s="1" t="e">
        <v>#VALUE!</v>
      </c>
      <c r="O956" s="1" t="e">
        <v>#VALUE!</v>
      </c>
      <c r="P956" s="1" t="e">
        <v>#VALUE!</v>
      </c>
      <c r="S956" s="1">
        <f t="shared" si="1337"/>
        <v>17</v>
      </c>
      <c r="T956" s="1">
        <v>227</v>
      </c>
    </row>
    <row r="957" spans="1:20" x14ac:dyDescent="0.3">
      <c r="A957" s="1">
        <f t="shared" si="1297"/>
        <v>17228</v>
      </c>
      <c r="B957" s="24"/>
      <c r="C957" s="24"/>
      <c r="D957" s="24"/>
      <c r="E957" s="24"/>
      <c r="F957" s="24"/>
      <c r="G957" s="25"/>
      <c r="H957" s="25"/>
      <c r="J957" s="1" t="str">
        <f t="shared" ref="J957" si="1349">CONCATENATE(J955,"2")</f>
        <v>82</v>
      </c>
      <c r="M957" s="1" t="e">
        <v>#VALUE!</v>
      </c>
      <c r="N957" s="1" t="e">
        <v>#VALUE!</v>
      </c>
      <c r="O957" s="1" t="e">
        <v>#VALUE!</v>
      </c>
      <c r="P957" s="1" t="e">
        <v>#VALUE!</v>
      </c>
      <c r="S957" s="1">
        <f t="shared" si="1337"/>
        <v>17</v>
      </c>
      <c r="T957" s="1">
        <v>228</v>
      </c>
    </row>
    <row r="958" spans="1:20" x14ac:dyDescent="0.3">
      <c r="A958" s="1">
        <f t="shared" si="1297"/>
        <v>17229</v>
      </c>
      <c r="B958" s="24"/>
      <c r="C958" s="24"/>
      <c r="D958" s="24"/>
      <c r="E958" s="24"/>
      <c r="F958" s="24"/>
      <c r="G958" s="25"/>
      <c r="H958" s="25"/>
      <c r="J958" s="1" t="str">
        <f t="shared" ref="J958" si="1350">CONCATENATE(J955,"3")</f>
        <v>83</v>
      </c>
      <c r="M958" s="1" t="e">
        <v>#VALUE!</v>
      </c>
      <c r="N958" s="1" t="e">
        <v>#VALUE!</v>
      </c>
      <c r="O958" s="1" t="e">
        <v>#VALUE!</v>
      </c>
      <c r="P958" s="1" t="e">
        <v>#VALUE!</v>
      </c>
      <c r="S958" s="1">
        <f t="shared" si="1337"/>
        <v>17</v>
      </c>
      <c r="T958" s="1">
        <v>229</v>
      </c>
    </row>
    <row r="959" spans="1:20" x14ac:dyDescent="0.3">
      <c r="A959" s="1">
        <f t="shared" si="1297"/>
        <v>17230</v>
      </c>
      <c r="B959" s="24"/>
      <c r="C959" s="24"/>
      <c r="D959" s="24"/>
      <c r="E959" s="24"/>
      <c r="F959" s="24"/>
      <c r="G959" s="25"/>
      <c r="H959" s="25"/>
      <c r="J959" s="1">
        <f t="shared" ref="J959" si="1351">J955-1</f>
        <v>7</v>
      </c>
      <c r="M959" s="1" t="s">
        <v>2</v>
      </c>
      <c r="N959" s="1" t="s">
        <v>3</v>
      </c>
      <c r="O959" s="1" t="s">
        <v>4</v>
      </c>
      <c r="P959" s="1" t="s">
        <v>5</v>
      </c>
      <c r="S959" s="1">
        <f t="shared" si="1337"/>
        <v>17</v>
      </c>
      <c r="T959" s="1">
        <v>230</v>
      </c>
    </row>
    <row r="960" spans="1:20" x14ac:dyDescent="0.3">
      <c r="A960" s="1">
        <f t="shared" si="1297"/>
        <v>17231</v>
      </c>
      <c r="B960" s="24"/>
      <c r="C960" s="24"/>
      <c r="D960" s="24"/>
      <c r="E960" s="24"/>
      <c r="F960" s="24"/>
      <c r="G960" s="25"/>
      <c r="H960" s="25"/>
      <c r="J960" s="1" t="str">
        <f t="shared" ref="J960" si="1352">CONCATENATE(J959,"1")</f>
        <v>71</v>
      </c>
      <c r="M960" s="1" t="e">
        <f t="array" ref="M960:P962">LINEST($B946:$B954,$C946:$C954^{1,2,3},TRUE,TRUE)</f>
        <v>#VALUE!</v>
      </c>
      <c r="N960" s="1" t="e">
        <v>#VALUE!</v>
      </c>
      <c r="O960" s="1" t="e">
        <v>#VALUE!</v>
      </c>
      <c r="P960" s="1" t="e">
        <v>#VALUE!</v>
      </c>
      <c r="S960" s="1">
        <f t="shared" si="1337"/>
        <v>17</v>
      </c>
      <c r="T960" s="1">
        <v>231</v>
      </c>
    </row>
    <row r="961" spans="1:20" x14ac:dyDescent="0.3">
      <c r="A961" s="1">
        <f t="shared" si="1297"/>
        <v>17232</v>
      </c>
      <c r="B961" s="2">
        <f t="shared" ref="B961" si="1353">COUNT(B946:B960)-2</f>
        <v>6</v>
      </c>
      <c r="J961" s="1" t="str">
        <f t="shared" ref="J961" si="1354">CONCATENATE(J959,"2")</f>
        <v>72</v>
      </c>
      <c r="M961" s="1" t="e">
        <v>#VALUE!</v>
      </c>
      <c r="N961" s="1" t="e">
        <v>#VALUE!</v>
      </c>
      <c r="O961" s="1" t="e">
        <v>#VALUE!</v>
      </c>
      <c r="P961" s="1" t="e">
        <v>#VALUE!</v>
      </c>
      <c r="S961" s="1">
        <f t="shared" si="1337"/>
        <v>17</v>
      </c>
      <c r="T961" s="1">
        <v>232</v>
      </c>
    </row>
    <row r="962" spans="1:20" x14ac:dyDescent="0.3">
      <c r="A962" s="1">
        <f t="shared" si="1297"/>
        <v>17233</v>
      </c>
      <c r="J962" s="1" t="str">
        <f t="shared" ref="J962" si="1355">CONCATENATE(J959,"3")</f>
        <v>73</v>
      </c>
      <c r="M962" s="1" t="e">
        <v>#VALUE!</v>
      </c>
      <c r="N962" s="1" t="e">
        <v>#VALUE!</v>
      </c>
      <c r="O962" s="1" t="e">
        <v>#VALUE!</v>
      </c>
      <c r="P962" s="1" t="e">
        <v>#VALUE!</v>
      </c>
      <c r="S962" s="1">
        <f t="shared" si="1337"/>
        <v>17</v>
      </c>
      <c r="T962" s="1">
        <v>233</v>
      </c>
    </row>
    <row r="963" spans="1:20" x14ac:dyDescent="0.3">
      <c r="A963" s="1">
        <f t="shared" si="1297"/>
        <v>17234</v>
      </c>
      <c r="B963" s="54" t="s">
        <v>25</v>
      </c>
      <c r="C963" s="54"/>
      <c r="D963" s="54"/>
      <c r="E963" s="54"/>
      <c r="F963" s="54"/>
      <c r="G963" s="54"/>
      <c r="H963" s="54"/>
      <c r="J963" s="1">
        <f t="shared" ref="J963" si="1356">J959-1</f>
        <v>6</v>
      </c>
      <c r="M963" s="1" t="s">
        <v>2</v>
      </c>
      <c r="N963" s="1" t="s">
        <v>3</v>
      </c>
      <c r="O963" s="1" t="s">
        <v>4</v>
      </c>
      <c r="P963" s="1" t="s">
        <v>5</v>
      </c>
      <c r="S963" s="1">
        <f t="shared" si="1337"/>
        <v>17</v>
      </c>
      <c r="T963" s="1">
        <v>234</v>
      </c>
    </row>
    <row r="964" spans="1:20" x14ac:dyDescent="0.3">
      <c r="A964" s="1">
        <f t="shared" si="1297"/>
        <v>17235</v>
      </c>
      <c r="B964" s="56"/>
      <c r="C964" s="56"/>
      <c r="D964" s="56"/>
      <c r="E964" s="56"/>
      <c r="F964" s="56"/>
      <c r="G964" s="56"/>
      <c r="H964" s="56"/>
      <c r="J964" s="1" t="str">
        <f t="shared" ref="J964" si="1357">CONCATENATE(J963,"1")</f>
        <v>61</v>
      </c>
      <c r="M964" s="1">
        <f t="array" ref="M964:P966">LINEST($B946:$B953,$C946:$C953^{1,2,3},TRUE,TRUE)</f>
        <v>6.29310529764046E-9</v>
      </c>
      <c r="N964" s="1">
        <v>-1.6567825201869858E-5</v>
      </c>
      <c r="O964" s="1">
        <v>1.0138683994396074</v>
      </c>
      <c r="P964" s="1">
        <v>-3.7892158383123666</v>
      </c>
      <c r="S964" s="1">
        <f t="shared" si="1337"/>
        <v>17</v>
      </c>
      <c r="T964" s="1">
        <v>235</v>
      </c>
    </row>
    <row r="965" spans="1:20" x14ac:dyDescent="0.3">
      <c r="A965" s="1">
        <f t="shared" si="1297"/>
        <v>17236</v>
      </c>
      <c r="B965" s="56"/>
      <c r="C965" s="56"/>
      <c r="D965" s="56"/>
      <c r="E965" s="56"/>
      <c r="F965" s="56"/>
      <c r="G965" s="56"/>
      <c r="H965" s="56"/>
      <c r="J965" s="1" t="str">
        <f t="shared" ref="J965" si="1358">CONCATENATE(J963,"2")</f>
        <v>62</v>
      </c>
      <c r="M965" s="1">
        <v>2.1758430245174244E-9</v>
      </c>
      <c r="N965" s="1">
        <v>5.2645709302653472E-6</v>
      </c>
      <c r="O965" s="1">
        <v>4.1229465937096888E-3</v>
      </c>
      <c r="P965" s="1">
        <v>1.0393434763229947</v>
      </c>
      <c r="S965" s="1">
        <f t="shared" si="1337"/>
        <v>17</v>
      </c>
      <c r="T965" s="1">
        <v>236</v>
      </c>
    </row>
    <row r="966" spans="1:20" x14ac:dyDescent="0.3">
      <c r="A966" s="1">
        <f t="shared" si="1297"/>
        <v>17237</v>
      </c>
      <c r="J966" s="1" t="str">
        <f t="shared" ref="J966" si="1359">CONCATENATE(J963,"3")</f>
        <v>63</v>
      </c>
      <c r="M966" s="1">
        <v>0.99999998394331535</v>
      </c>
      <c r="N966" s="1">
        <v>3.4642957129513263E-2</v>
      </c>
      <c r="O966" s="1" t="e">
        <v>#N/A</v>
      </c>
      <c r="P966" s="1" t="e">
        <v>#N/A</v>
      </c>
      <c r="S966" s="1">
        <f t="shared" si="1337"/>
        <v>17</v>
      </c>
      <c r="T966" s="1">
        <v>237</v>
      </c>
    </row>
    <row r="967" spans="1:20" ht="15" customHeight="1" x14ac:dyDescent="0.3">
      <c r="A967" s="1">
        <f t="shared" si="1297"/>
        <v>17238</v>
      </c>
      <c r="J967" s="1">
        <f t="shared" ref="J967" si="1360">J963-1</f>
        <v>5</v>
      </c>
      <c r="M967" s="1" t="s">
        <v>2</v>
      </c>
      <c r="N967" s="1" t="s">
        <v>3</v>
      </c>
      <c r="O967" s="1" t="s">
        <v>4</v>
      </c>
      <c r="P967" s="1" t="s">
        <v>5</v>
      </c>
      <c r="S967" s="1">
        <f t="shared" si="1337"/>
        <v>17</v>
      </c>
      <c r="T967" s="1">
        <v>238</v>
      </c>
    </row>
    <row r="968" spans="1:20" x14ac:dyDescent="0.3">
      <c r="A968" s="1">
        <f t="shared" si="1297"/>
        <v>17239</v>
      </c>
      <c r="J968" s="1" t="str">
        <f t="shared" ref="J968" si="1361">CONCATENATE(J967,"1")</f>
        <v>51</v>
      </c>
      <c r="M968" s="1">
        <f t="array" ref="M968:P970">LINEST($B946:$B952,$C946:$C952^{1,2,3},TRUE,TRUE)</f>
        <v>4.3606890059446917E-9</v>
      </c>
      <c r="N968" s="1">
        <v>-1.2340448526243666E-5</v>
      </c>
      <c r="O968" s="1">
        <v>1.0108757609694115</v>
      </c>
      <c r="P968" s="1">
        <v>-3.1046587618850161</v>
      </c>
      <c r="S968" s="1">
        <f t="shared" si="1337"/>
        <v>17</v>
      </c>
      <c r="T968" s="1">
        <v>239</v>
      </c>
    </row>
    <row r="969" spans="1:20" x14ac:dyDescent="0.3">
      <c r="A969" s="1">
        <f t="shared" si="1297"/>
        <v>17240</v>
      </c>
      <c r="E969" s="26"/>
      <c r="F969" s="26"/>
      <c r="G969" s="26"/>
      <c r="H969" s="26"/>
      <c r="J969" s="1" t="str">
        <f t="shared" ref="J969" si="1362">CONCATENATE(J967,"2")</f>
        <v>52</v>
      </c>
      <c r="M969" s="1">
        <v>4.7082430047981484E-9</v>
      </c>
      <c r="N969" s="1">
        <v>1.0599668459650015E-5</v>
      </c>
      <c r="O969" s="1">
        <v>7.7560832857457877E-3</v>
      </c>
      <c r="P969" s="1">
        <v>1.8395762980186301</v>
      </c>
      <c r="S969" s="1">
        <f t="shared" si="1337"/>
        <v>17</v>
      </c>
      <c r="T969" s="1">
        <v>240</v>
      </c>
    </row>
    <row r="970" spans="1:20" x14ac:dyDescent="0.3">
      <c r="A970" s="1">
        <f t="shared" si="1297"/>
        <v>17241</v>
      </c>
      <c r="B970" s="54" t="s">
        <v>90</v>
      </c>
      <c r="C970" s="54"/>
      <c r="D970" s="54"/>
      <c r="E970" s="27">
        <f t="shared" ref="E970" si="1363">IF(D932="","",MAX(E971,E972))</f>
        <v>0.20000000000004547</v>
      </c>
      <c r="F970" s="26"/>
      <c r="G970" s="26"/>
      <c r="H970" s="26"/>
      <c r="J970" s="1" t="str">
        <f t="shared" ref="J970" si="1364">CONCATENATE(J967,"3")</f>
        <v>53</v>
      </c>
      <c r="M970" s="1">
        <v>0.99999997862876899</v>
      </c>
      <c r="N970" s="1">
        <v>3.8557367593348678E-2</v>
      </c>
      <c r="O970" s="1" t="e">
        <v>#N/A</v>
      </c>
      <c r="P970" s="1" t="e">
        <v>#N/A</v>
      </c>
      <c r="S970" s="1">
        <f t="shared" si="1337"/>
        <v>17</v>
      </c>
      <c r="T970" s="1">
        <v>241</v>
      </c>
    </row>
    <row r="971" spans="1:20" x14ac:dyDescent="0.3">
      <c r="A971" s="1">
        <f t="shared" si="1297"/>
        <v>17242</v>
      </c>
      <c r="B971" s="2" t="s">
        <v>26</v>
      </c>
      <c r="C971" s="2" t="s">
        <v>27</v>
      </c>
      <c r="D971" s="2" t="s">
        <v>28</v>
      </c>
      <c r="E971" s="28">
        <f t="shared" ref="E971" si="1365">ABS(MIN(D972:D986))</f>
        <v>0.20000000000004547</v>
      </c>
      <c r="F971" s="26"/>
      <c r="H971" s="26"/>
      <c r="J971" s="1">
        <f t="shared" ref="J971" si="1366">J967-1</f>
        <v>4</v>
      </c>
      <c r="M971" s="1" t="s">
        <v>2</v>
      </c>
      <c r="N971" s="1" t="s">
        <v>3</v>
      </c>
      <c r="O971" s="1" t="s">
        <v>4</v>
      </c>
      <c r="P971" s="1" t="s">
        <v>5</v>
      </c>
      <c r="S971" s="1">
        <f t="shared" si="1337"/>
        <v>17</v>
      </c>
      <c r="T971" s="1">
        <v>242</v>
      </c>
    </row>
    <row r="972" spans="1:20" x14ac:dyDescent="0.3">
      <c r="A972" s="1">
        <f t="shared" si="1297"/>
        <v>17243</v>
      </c>
      <c r="B972" s="2">
        <f t="shared" ref="B972:B986" si="1367">C946-B946</f>
        <v>0.19999999999998863</v>
      </c>
      <c r="C972" s="2">
        <f t="shared" ref="C972:C986" si="1368">H946-G946</f>
        <v>0</v>
      </c>
      <c r="D972" s="2">
        <f t="shared" ref="D972:D986" si="1369">C972-B972</f>
        <v>-0.19999999999998863</v>
      </c>
      <c r="E972" s="28">
        <f t="shared" ref="E972" si="1370">ABS(MAX(D972:D986))</f>
        <v>0</v>
      </c>
      <c r="F972" s="26"/>
      <c r="H972" s="26"/>
      <c r="J972" s="1" t="str">
        <f t="shared" ref="J972" si="1371">CONCATENATE(J971,"1")</f>
        <v>41</v>
      </c>
      <c r="M972" s="1">
        <f t="array" ref="M972:P974">LINEST($B946:$B951,$C946:$C951^{1,2,3},TRUE,TRUE)</f>
        <v>1.5820598030174126E-9</v>
      </c>
      <c r="N972" s="1">
        <v>-6.4826663366870975E-6</v>
      </c>
      <c r="O972" s="1">
        <v>1.0068646273435948</v>
      </c>
      <c r="P972" s="1">
        <v>-2.213272365644968</v>
      </c>
      <c r="S972" s="1">
        <f t="shared" si="1337"/>
        <v>17</v>
      </c>
      <c r="T972" s="1">
        <v>243</v>
      </c>
    </row>
    <row r="973" spans="1:20" x14ac:dyDescent="0.3">
      <c r="A973" s="1">
        <f t="shared" si="1297"/>
        <v>17244</v>
      </c>
      <c r="B973" s="2">
        <f t="shared" si="1367"/>
        <v>0.10000000000002274</v>
      </c>
      <c r="C973" s="2">
        <f t="shared" si="1368"/>
        <v>0</v>
      </c>
      <c r="D973" s="2">
        <f t="shared" si="1369"/>
        <v>-0.10000000000002274</v>
      </c>
      <c r="E973" s="29" t="s">
        <v>32</v>
      </c>
      <c r="F973" s="26"/>
      <c r="H973" s="26"/>
      <c r="J973" s="1" t="str">
        <f t="shared" ref="J973" si="1372">CONCATENATE(J971,"2")</f>
        <v>42</v>
      </c>
      <c r="M973" s="1">
        <v>8.1603824680880696E-9</v>
      </c>
      <c r="N973" s="1">
        <v>1.7740394801860918E-5</v>
      </c>
      <c r="O973" s="1">
        <v>1.2558291992383232E-2</v>
      </c>
      <c r="P973" s="1">
        <v>2.8894820474170024</v>
      </c>
      <c r="S973" s="1">
        <f t="shared" si="1337"/>
        <v>17</v>
      </c>
      <c r="T973" s="1">
        <v>244</v>
      </c>
    </row>
    <row r="974" spans="1:20" x14ac:dyDescent="0.3">
      <c r="A974" s="1">
        <f t="shared" si="1297"/>
        <v>17245</v>
      </c>
      <c r="B974" s="2">
        <f t="shared" si="1367"/>
        <v>9.9999999999909051E-3</v>
      </c>
      <c r="C974" s="2">
        <f t="shared" si="1368"/>
        <v>0</v>
      </c>
      <c r="D974" s="2">
        <f t="shared" si="1369"/>
        <v>-9.9999999999909051E-3</v>
      </c>
      <c r="E974" s="27">
        <f t="shared" ref="E974" si="1373">IF(D932="","",MAX(E975,E976))</f>
        <v>0.20000000000004547</v>
      </c>
      <c r="F974" s="26"/>
      <c r="H974" s="26"/>
      <c r="J974" s="1" t="str">
        <f t="shared" ref="J974" si="1374">CONCATENATE(J971,"3")</f>
        <v>43</v>
      </c>
      <c r="M974" s="1">
        <v>0.99999997339294633</v>
      </c>
      <c r="N974" s="1">
        <v>4.4908939337167934E-2</v>
      </c>
      <c r="O974" s="1" t="e">
        <v>#N/A</v>
      </c>
      <c r="P974" s="1" t="e">
        <v>#N/A</v>
      </c>
      <c r="S974" s="1">
        <f t="shared" si="1337"/>
        <v>17</v>
      </c>
      <c r="T974" s="1">
        <v>245</v>
      </c>
    </row>
    <row r="975" spans="1:20" x14ac:dyDescent="0.3">
      <c r="A975" s="1">
        <f t="shared" si="1297"/>
        <v>17246</v>
      </c>
      <c r="B975" s="2">
        <f t="shared" si="1367"/>
        <v>0.10000000000002274</v>
      </c>
      <c r="C975" s="2">
        <f t="shared" si="1368"/>
        <v>0</v>
      </c>
      <c r="D975" s="2">
        <f t="shared" si="1369"/>
        <v>-0.10000000000002274</v>
      </c>
      <c r="E975" s="28">
        <f t="shared" ref="E975" si="1375">ABS(MIN(B972:B986))</f>
        <v>0</v>
      </c>
      <c r="F975" s="26"/>
      <c r="H975" s="26"/>
      <c r="J975" s="1">
        <f t="shared" ref="J975" si="1376">J971-1</f>
        <v>3</v>
      </c>
      <c r="M975" s="1" t="s">
        <v>2</v>
      </c>
      <c r="N975" s="1" t="s">
        <v>3</v>
      </c>
      <c r="O975" s="1" t="s">
        <v>4</v>
      </c>
      <c r="P975" s="1" t="s">
        <v>5</v>
      </c>
      <c r="S975" s="1">
        <f t="shared" si="1337"/>
        <v>17</v>
      </c>
      <c r="T975" s="1">
        <v>246</v>
      </c>
    </row>
    <row r="976" spans="1:20" x14ac:dyDescent="0.3">
      <c r="A976" s="1">
        <f t="shared" si="1297"/>
        <v>17247</v>
      </c>
      <c r="B976" s="2">
        <f t="shared" si="1367"/>
        <v>0.10000000000002274</v>
      </c>
      <c r="C976" s="2">
        <f t="shared" si="1368"/>
        <v>0</v>
      </c>
      <c r="D976" s="2">
        <f t="shared" si="1369"/>
        <v>-0.10000000000002274</v>
      </c>
      <c r="E976" s="28">
        <f t="shared" ref="E976" si="1377">ABS(MAX(B972:B986))</f>
        <v>0.20000000000004547</v>
      </c>
      <c r="F976" s="26"/>
      <c r="H976" s="26"/>
      <c r="J976" s="1" t="str">
        <f t="shared" ref="J976" si="1378">CONCATENATE(J975,"1")</f>
        <v>31</v>
      </c>
      <c r="M976" s="1">
        <f t="array" ref="M976:P978">LINEST($B946:$B950,$C946:$C950^{1,2,3},TRUE,TRUE)</f>
        <v>8.54005910987648E-9</v>
      </c>
      <c r="N976" s="1">
        <v>-2.0679201782615376E-5</v>
      </c>
      <c r="O976" s="1">
        <v>1.0163107545758225</v>
      </c>
      <c r="P976" s="1">
        <v>-4.2614637985548489</v>
      </c>
      <c r="S976" s="1">
        <f t="shared" si="1337"/>
        <v>17</v>
      </c>
      <c r="T976" s="1">
        <v>247</v>
      </c>
    </row>
    <row r="977" spans="1:20" x14ac:dyDescent="0.3">
      <c r="A977" s="1">
        <f t="shared" si="1297"/>
        <v>17248</v>
      </c>
      <c r="B977" s="2">
        <f t="shared" si="1367"/>
        <v>0.20000000000004547</v>
      </c>
      <c r="C977" s="2">
        <f t="shared" si="1368"/>
        <v>0</v>
      </c>
      <c r="D977" s="2">
        <f t="shared" si="1369"/>
        <v>-0.20000000000004547</v>
      </c>
      <c r="E977" s="29" t="s">
        <v>33</v>
      </c>
      <c r="F977" s="26"/>
      <c r="J977" s="1" t="str">
        <f t="shared" ref="J977" si="1379">CONCATENATE(J975,"2")</f>
        <v>32</v>
      </c>
      <c r="M977" s="1">
        <v>1.3894548532464372E-8</v>
      </c>
      <c r="N977" s="1">
        <v>2.9234296165550636E-5</v>
      </c>
      <c r="O977" s="1">
        <v>2.0083413050201282E-2</v>
      </c>
      <c r="P977" s="1">
        <v>4.4980709566292774</v>
      </c>
      <c r="S977" s="1">
        <f t="shared" si="1337"/>
        <v>17</v>
      </c>
      <c r="T977" s="1">
        <v>248</v>
      </c>
    </row>
    <row r="978" spans="1:20" x14ac:dyDescent="0.3">
      <c r="A978" s="1">
        <f t="shared" si="1297"/>
        <v>17249</v>
      </c>
      <c r="B978" s="2">
        <f t="shared" si="1367"/>
        <v>0.20000000000004547</v>
      </c>
      <c r="C978" s="2">
        <f t="shared" si="1368"/>
        <v>0</v>
      </c>
      <c r="D978" s="2">
        <f t="shared" si="1369"/>
        <v>-0.20000000000004547</v>
      </c>
      <c r="E978" s="27">
        <f t="shared" ref="E978" si="1380">IF(D932="","",MAX(E979,E980))</f>
        <v>0.2</v>
      </c>
      <c r="F978" s="26"/>
      <c r="J978" s="1" t="str">
        <f t="shared" ref="J978" si="1381">CONCATENATE(J975,"3")</f>
        <v>33</v>
      </c>
      <c r="M978" s="1">
        <v>0.99999997249822081</v>
      </c>
      <c r="N978" s="1">
        <v>5.2347821191903954E-2</v>
      </c>
      <c r="O978" s="1" t="e">
        <v>#N/A</v>
      </c>
      <c r="P978" s="1" t="e">
        <v>#N/A</v>
      </c>
      <c r="S978" s="1">
        <f t="shared" si="1337"/>
        <v>17</v>
      </c>
      <c r="T978" s="1">
        <v>249</v>
      </c>
    </row>
    <row r="979" spans="1:20" x14ac:dyDescent="0.3">
      <c r="A979" s="1">
        <f t="shared" si="1297"/>
        <v>17250</v>
      </c>
      <c r="B979" s="2">
        <f t="shared" si="1367"/>
        <v>0.20000000000004547</v>
      </c>
      <c r="C979" s="2">
        <f t="shared" si="1368"/>
        <v>0</v>
      </c>
      <c r="D979" s="2">
        <f t="shared" si="1369"/>
        <v>-0.20000000000004547</v>
      </c>
      <c r="E979" s="28">
        <f t="shared" ref="E979" si="1382">ABS(MIN(D946:D960))</f>
        <v>0.2</v>
      </c>
      <c r="F979" s="26"/>
      <c r="J979" s="1">
        <f t="shared" ref="J979" si="1383">J975-1</f>
        <v>2</v>
      </c>
      <c r="N979" s="1" t="s">
        <v>3</v>
      </c>
      <c r="O979" s="1" t="s">
        <v>4</v>
      </c>
      <c r="P979" s="1" t="s">
        <v>5</v>
      </c>
      <c r="S979" s="1">
        <f t="shared" si="1337"/>
        <v>17</v>
      </c>
      <c r="T979" s="1">
        <v>250</v>
      </c>
    </row>
    <row r="980" spans="1:20" x14ac:dyDescent="0.3">
      <c r="A980" s="1">
        <f t="shared" si="1297"/>
        <v>17251</v>
      </c>
      <c r="B980" s="2">
        <f t="shared" si="1367"/>
        <v>0</v>
      </c>
      <c r="C980" s="2">
        <f t="shared" si="1368"/>
        <v>0</v>
      </c>
      <c r="D980" s="2">
        <f t="shared" si="1369"/>
        <v>0</v>
      </c>
      <c r="E980" s="28">
        <f t="shared" ref="E980" si="1384">ABS(MAX(D946:D960))</f>
        <v>0.2</v>
      </c>
      <c r="F980" s="26"/>
      <c r="J980" s="1" t="str">
        <f t="shared" ref="J980" si="1385">CONCATENATE(J979,"1")</f>
        <v>21</v>
      </c>
      <c r="N980" s="1">
        <f t="array" ref="N980:P982">LINEST($B946:$B949,$C946:$C949^{1,2},TRUE,TRUE)</f>
        <v>-4.8021394368025354E-6</v>
      </c>
      <c r="O980" s="1">
        <v>1.0066384457290101</v>
      </c>
      <c r="P980" s="1">
        <v>-2.3290169448856446</v>
      </c>
      <c r="S980" s="1">
        <f t="shared" si="1337"/>
        <v>17</v>
      </c>
      <c r="T980" s="1">
        <v>251</v>
      </c>
    </row>
    <row r="981" spans="1:20" x14ac:dyDescent="0.3">
      <c r="A981" s="1">
        <f t="shared" si="1297"/>
        <v>17252</v>
      </c>
      <c r="B981" s="2">
        <f t="shared" si="1367"/>
        <v>0</v>
      </c>
      <c r="C981" s="2">
        <f t="shared" si="1368"/>
        <v>0</v>
      </c>
      <c r="D981" s="2">
        <f t="shared" si="1369"/>
        <v>0</v>
      </c>
      <c r="E981" s="26"/>
      <c r="F981" s="26"/>
      <c r="J981" s="1" t="str">
        <f t="shared" ref="J981" si="1386">CONCATENATE(J979,"2")</f>
        <v>22</v>
      </c>
      <c r="N981" s="1">
        <v>1.8943897896693235E-6</v>
      </c>
      <c r="O981" s="1">
        <v>2.4705536399414669E-3</v>
      </c>
      <c r="P981" s="1">
        <v>0.78611154947505502</v>
      </c>
      <c r="S981" s="1">
        <f t="shared" si="1337"/>
        <v>17</v>
      </c>
      <c r="T981" s="1">
        <v>252</v>
      </c>
    </row>
    <row r="982" spans="1:20" x14ac:dyDescent="0.3">
      <c r="A982" s="1">
        <f t="shared" si="1297"/>
        <v>17253</v>
      </c>
      <c r="B982" s="2">
        <f t="shared" si="1367"/>
        <v>0</v>
      </c>
      <c r="C982" s="2">
        <f t="shared" si="1368"/>
        <v>0</v>
      </c>
      <c r="D982" s="2">
        <f t="shared" si="1369"/>
        <v>0</v>
      </c>
      <c r="E982" s="26"/>
      <c r="F982" s="26"/>
      <c r="J982" s="1" t="str">
        <f t="shared" ref="J982" si="1387">CONCATENATE(J979,"3")</f>
        <v>23</v>
      </c>
      <c r="N982" s="1">
        <v>0.99999997157093146</v>
      </c>
      <c r="O982" s="1">
        <v>3.7603852624659595E-2</v>
      </c>
      <c r="P982" s="1" t="e">
        <v>#N/A</v>
      </c>
      <c r="S982" s="1">
        <f t="shared" si="1337"/>
        <v>17</v>
      </c>
      <c r="T982" s="1">
        <v>253</v>
      </c>
    </row>
    <row r="983" spans="1:20" x14ac:dyDescent="0.3">
      <c r="A983" s="1">
        <f t="shared" si="1297"/>
        <v>17254</v>
      </c>
      <c r="B983" s="2">
        <f t="shared" si="1367"/>
        <v>0</v>
      </c>
      <c r="C983" s="2">
        <f t="shared" si="1368"/>
        <v>0</v>
      </c>
      <c r="D983" s="2">
        <f t="shared" si="1369"/>
        <v>0</v>
      </c>
      <c r="E983" s="26"/>
      <c r="F983" s="26"/>
      <c r="J983" s="1">
        <f t="shared" ref="J983" si="1388">J979-1</f>
        <v>1</v>
      </c>
      <c r="O983" s="1" t="s">
        <v>4</v>
      </c>
      <c r="P983" s="1" t="s">
        <v>5</v>
      </c>
      <c r="S983" s="1">
        <f t="shared" si="1337"/>
        <v>17</v>
      </c>
      <c r="T983" s="1">
        <v>254</v>
      </c>
    </row>
    <row r="984" spans="1:20" x14ac:dyDescent="0.3">
      <c r="A984" s="1">
        <f t="shared" si="1297"/>
        <v>17255</v>
      </c>
      <c r="B984" s="2">
        <f t="shared" si="1367"/>
        <v>0</v>
      </c>
      <c r="C984" s="2">
        <f t="shared" si="1368"/>
        <v>0</v>
      </c>
      <c r="D984" s="2">
        <f t="shared" si="1369"/>
        <v>0</v>
      </c>
      <c r="E984" s="26"/>
      <c r="F984" s="26"/>
      <c r="J984" s="1" t="str">
        <f t="shared" ref="J984" si="1389">CONCATENATE(J983,"1")</f>
        <v>11</v>
      </c>
      <c r="O984" s="1">
        <f t="array" ref="O984:P986">LINEST($B946:$B948,$C946:$C948^{1},TRUE,TRUE)</f>
        <v>1.0009546816605501</v>
      </c>
      <c r="P984" s="1">
        <v>-0.67646055688362594</v>
      </c>
      <c r="S984" s="1">
        <f t="shared" si="1337"/>
        <v>17</v>
      </c>
      <c r="T984" s="1">
        <v>255</v>
      </c>
    </row>
    <row r="985" spans="1:20" x14ac:dyDescent="0.3">
      <c r="A985" s="1">
        <f t="shared" si="1297"/>
        <v>17256</v>
      </c>
      <c r="B985" s="2">
        <f t="shared" si="1367"/>
        <v>0</v>
      </c>
      <c r="C985" s="2">
        <f t="shared" si="1368"/>
        <v>0</v>
      </c>
      <c r="D985" s="2">
        <f t="shared" si="1369"/>
        <v>0</v>
      </c>
      <c r="E985" s="26"/>
      <c r="F985" s="26"/>
      <c r="J985" s="1" t="str">
        <f t="shared" ref="J985" si="1390">CONCATENATE(J983,"2")</f>
        <v>12</v>
      </c>
      <c r="O985" s="1">
        <v>3.1782353796878386E-5</v>
      </c>
      <c r="P985" s="1">
        <v>1.9253925507004437E-2</v>
      </c>
      <c r="S985" s="1">
        <f t="shared" si="1337"/>
        <v>17</v>
      </c>
      <c r="T985" s="1">
        <v>256</v>
      </c>
    </row>
    <row r="986" spans="1:20" x14ac:dyDescent="0.3">
      <c r="A986" s="1">
        <f t="shared" si="1297"/>
        <v>17257</v>
      </c>
      <c r="B986" s="2">
        <f t="shared" si="1367"/>
        <v>0</v>
      </c>
      <c r="C986" s="2">
        <f t="shared" si="1368"/>
        <v>0</v>
      </c>
      <c r="D986" s="2">
        <f t="shared" si="1369"/>
        <v>0</v>
      </c>
      <c r="E986" s="30"/>
      <c r="F986" s="30"/>
      <c r="J986" s="1" t="str">
        <f t="shared" ref="J986" si="1391">CONCATENATE(J983,"3")</f>
        <v>13</v>
      </c>
      <c r="O986" s="1">
        <v>0.99999999899180791</v>
      </c>
      <c r="P986" s="1">
        <v>4.4722488824788798E-3</v>
      </c>
      <c r="S986" s="1">
        <f t="shared" si="1337"/>
        <v>17</v>
      </c>
      <c r="T986" s="1">
        <v>257</v>
      </c>
    </row>
    <row r="987" spans="1:20" s="8" customFormat="1" x14ac:dyDescent="0.3"/>
    <row r="988" spans="1:20" x14ac:dyDescent="0.3">
      <c r="A988" s="1">
        <f t="shared" ref="A988:A1044" si="1392">ROUND(CONCATENATE(S988,T988),0)</f>
        <v>18201</v>
      </c>
      <c r="B988" s="57" t="s">
        <v>0</v>
      </c>
      <c r="C988" s="57"/>
      <c r="D988" s="56" t="s">
        <v>46</v>
      </c>
      <c r="E988" s="56"/>
      <c r="F988" s="56"/>
      <c r="G988" s="56"/>
      <c r="H988" s="56"/>
      <c r="L988" s="1">
        <v>1</v>
      </c>
      <c r="M988" s="1">
        <v>2</v>
      </c>
      <c r="N988" s="1">
        <v>3</v>
      </c>
      <c r="O988" s="1">
        <v>4</v>
      </c>
      <c r="P988" s="1">
        <v>5</v>
      </c>
      <c r="Q988" s="1">
        <v>6</v>
      </c>
      <c r="R988" s="1">
        <v>7</v>
      </c>
      <c r="S988" s="1">
        <f t="shared" ref="S988" si="1393">S986+1</f>
        <v>18</v>
      </c>
      <c r="T988" s="1">
        <v>201</v>
      </c>
    </row>
    <row r="989" spans="1:20" x14ac:dyDescent="0.3">
      <c r="A989" s="1">
        <f t="shared" si="1392"/>
        <v>18202</v>
      </c>
      <c r="B989" s="57"/>
      <c r="C989" s="57"/>
      <c r="D989" s="57"/>
      <c r="E989" s="57"/>
      <c r="F989" s="57"/>
      <c r="G989" s="57"/>
      <c r="H989" s="57"/>
      <c r="K989" s="2" t="s">
        <v>1</v>
      </c>
      <c r="L989" s="2"/>
      <c r="M989" s="2" t="s">
        <v>2</v>
      </c>
      <c r="N989" s="2" t="s">
        <v>3</v>
      </c>
      <c r="O989" s="2" t="s">
        <v>4</v>
      </c>
      <c r="P989" s="2" t="s">
        <v>5</v>
      </c>
      <c r="S989" s="1">
        <f t="shared" ref="S989" si="1394">S988</f>
        <v>18</v>
      </c>
      <c r="T989" s="1">
        <v>202</v>
      </c>
    </row>
    <row r="990" spans="1:20" x14ac:dyDescent="0.3">
      <c r="A990" s="1">
        <f t="shared" si="1392"/>
        <v>18203</v>
      </c>
      <c r="B990" s="64" t="s">
        <v>6</v>
      </c>
      <c r="C990" s="64"/>
      <c r="D990" s="56" t="s">
        <v>134</v>
      </c>
      <c r="E990" s="56"/>
      <c r="F990" s="56"/>
      <c r="G990" s="56"/>
      <c r="H990" s="56"/>
      <c r="K990" s="3">
        <f t="shared" ref="K990" si="1395">IF(K992&gt;=3,N992,LOOKUP(15-($B1019+1),M988:R988,M992:P992))</f>
        <v>4.00845254424083E-2</v>
      </c>
      <c r="L990" s="2" t="str">
        <f t="shared" ref="L990" si="1396">CONCATENATE($B1019,"1")</f>
        <v>61</v>
      </c>
      <c r="M990" s="2">
        <f t="shared" ref="M990" si="1397">VLOOKUP(L990,J993:P1044,O988,FALSE)</f>
        <v>4.8746548515543508E-9</v>
      </c>
      <c r="N990" s="2">
        <f t="shared" ref="N990" si="1398">VLOOKUP(L990,J993:P1044,P988,FALSE)</f>
        <v>-1.2168607075886795E-5</v>
      </c>
      <c r="O990" s="2">
        <f t="shared" ref="O990" si="1399">VLOOKUP(L990,J993:P1044,Q988,FALSE)</f>
        <v>1.0098455249487905</v>
      </c>
      <c r="P990" s="2">
        <f t="shared" ref="P990" si="1400">VLOOKUP(L990,J993:P1044,R988,FALSE)</f>
        <v>-2.2887439353229531</v>
      </c>
      <c r="S990" s="1">
        <f t="shared" si="1337"/>
        <v>18</v>
      </c>
      <c r="T990" s="1">
        <v>203</v>
      </c>
    </row>
    <row r="991" spans="1:20" x14ac:dyDescent="0.3">
      <c r="A991" s="1">
        <f t="shared" si="1392"/>
        <v>18204</v>
      </c>
      <c r="B991" s="57" t="s">
        <v>7</v>
      </c>
      <c r="C991" s="57"/>
      <c r="D991" s="56" t="s">
        <v>98</v>
      </c>
      <c r="E991" s="56"/>
      <c r="F991" s="56"/>
      <c r="G991" s="56"/>
      <c r="H991" s="56"/>
      <c r="K991" s="2" t="s">
        <v>8</v>
      </c>
      <c r="L991" s="2" t="str">
        <f t="shared" ref="L991" si="1401">CONCATENATE($B1019,"2")</f>
        <v>62</v>
      </c>
      <c r="M991" s="2">
        <f t="shared" ref="M991" si="1402">VLOOKUP(L991,J993:P1044,O988,FALSE)</f>
        <v>2.5314169985598717E-9</v>
      </c>
      <c r="N991" s="2">
        <f t="shared" ref="N991" si="1403">VLOOKUP(L991,J993:P1044,P988,FALSE)</f>
        <v>6.1204788774166873E-6</v>
      </c>
      <c r="O991" s="2">
        <f t="shared" ref="O991" si="1404">VLOOKUP(L991,J993:P1044,Q988,FALSE)</f>
        <v>4.790108781224209E-3</v>
      </c>
      <c r="P991" s="2">
        <f t="shared" ref="P991" si="1405">VLOOKUP(L991,J993:P1044,R988,FALSE)</f>
        <v>1.2068439038645471</v>
      </c>
      <c r="S991" s="1">
        <f t="shared" si="1337"/>
        <v>18</v>
      </c>
      <c r="T991" s="1">
        <v>204</v>
      </c>
    </row>
    <row r="992" spans="1:20" x14ac:dyDescent="0.3">
      <c r="A992" s="1">
        <f t="shared" si="1392"/>
        <v>18205</v>
      </c>
      <c r="B992" s="57" t="s">
        <v>9</v>
      </c>
      <c r="C992" s="57"/>
      <c r="D992" s="56" t="s">
        <v>91</v>
      </c>
      <c r="E992" s="56"/>
      <c r="F992" s="56"/>
      <c r="G992" s="56"/>
      <c r="H992" s="56"/>
      <c r="K992" s="3">
        <f t="shared" ref="K992" si="1406">IF(B1019&gt;3,3,B1019)</f>
        <v>3</v>
      </c>
      <c r="L992" s="2" t="str">
        <f t="shared" ref="L992" si="1407">CONCATENATE($B1019,"3")</f>
        <v>63</v>
      </c>
      <c r="M992" s="2">
        <f t="shared" ref="M992" si="1408">VLOOKUP(L992,J993:P1044,O988,FALSE)</f>
        <v>0.99999997847068878</v>
      </c>
      <c r="N992" s="2">
        <f t="shared" ref="N992" si="1409">VLOOKUP(L992,J993:P1044,P988,FALSE)</f>
        <v>4.00845254424083E-2</v>
      </c>
      <c r="O992" s="2" t="e">
        <f t="shared" ref="O992" si="1410">VLOOKUP(L992,J993:P1044,Q988,FALSE)</f>
        <v>#N/A</v>
      </c>
      <c r="P992" s="2" t="e">
        <f t="shared" ref="P992" si="1411">VLOOKUP(L992,J993:P1044,R988,FALSE)</f>
        <v>#N/A</v>
      </c>
      <c r="S992" s="1">
        <f t="shared" si="1337"/>
        <v>18</v>
      </c>
      <c r="T992" s="1">
        <v>205</v>
      </c>
    </row>
    <row r="993" spans="1:20" x14ac:dyDescent="0.3">
      <c r="A993" s="1">
        <f t="shared" si="1392"/>
        <v>18206</v>
      </c>
      <c r="B993" s="57" t="s">
        <v>10</v>
      </c>
      <c r="C993" s="57"/>
      <c r="D993" s="62" t="s">
        <v>135</v>
      </c>
      <c r="E993" s="56"/>
      <c r="F993" s="56"/>
      <c r="G993" s="56"/>
      <c r="H993" s="56"/>
      <c r="J993" s="1">
        <v>13</v>
      </c>
      <c r="M993" s="1" t="s">
        <v>2</v>
      </c>
      <c r="N993" s="1" t="s">
        <v>3</v>
      </c>
      <c r="O993" s="1" t="s">
        <v>4</v>
      </c>
      <c r="P993" s="1" t="s">
        <v>5</v>
      </c>
      <c r="S993" s="1">
        <f t="shared" si="1337"/>
        <v>18</v>
      </c>
      <c r="T993" s="1">
        <v>206</v>
      </c>
    </row>
    <row r="994" spans="1:20" x14ac:dyDescent="0.3">
      <c r="A994" s="1">
        <f t="shared" si="1392"/>
        <v>18207</v>
      </c>
      <c r="B994" s="57" t="s">
        <v>11</v>
      </c>
      <c r="C994" s="57"/>
      <c r="D994" s="63">
        <v>45777</v>
      </c>
      <c r="E994" s="63"/>
      <c r="F994" s="63"/>
      <c r="G994" s="63"/>
      <c r="H994" s="63"/>
      <c r="J994" s="1" t="str">
        <f t="shared" ref="J994" si="1412">CONCATENATE(J993,"1")</f>
        <v>131</v>
      </c>
      <c r="M994" s="1" t="e">
        <f t="array" ref="M994:P996">LINEST($B1004:$B1018,$C1004:$C1018^{1,2,3},TRUE,TRUE)</f>
        <v>#VALUE!</v>
      </c>
      <c r="N994" s="1" t="e">
        <v>#VALUE!</v>
      </c>
      <c r="O994" s="1" t="e">
        <v>#VALUE!</v>
      </c>
      <c r="P994" s="1" t="e">
        <v>#VALUE!</v>
      </c>
      <c r="S994" s="1">
        <f t="shared" si="1337"/>
        <v>18</v>
      </c>
      <c r="T994" s="1">
        <v>207</v>
      </c>
    </row>
    <row r="995" spans="1:20" x14ac:dyDescent="0.3">
      <c r="A995" s="1">
        <f t="shared" si="1392"/>
        <v>18208</v>
      </c>
      <c r="B995" s="57" t="s">
        <v>12</v>
      </c>
      <c r="C995" s="57"/>
      <c r="D995" s="58">
        <v>46507</v>
      </c>
      <c r="E995" s="58"/>
      <c r="F995" s="58"/>
      <c r="G995" s="58"/>
      <c r="H995" s="58"/>
      <c r="J995" s="1" t="str">
        <f t="shared" ref="J995" si="1413">CONCATENATE(J993,"2")</f>
        <v>132</v>
      </c>
      <c r="M995" s="1" t="e">
        <v>#VALUE!</v>
      </c>
      <c r="N995" s="1" t="e">
        <v>#VALUE!</v>
      </c>
      <c r="O995" s="1" t="e">
        <v>#VALUE!</v>
      </c>
      <c r="P995" s="1" t="e">
        <v>#VALUE!</v>
      </c>
      <c r="S995" s="1">
        <f t="shared" si="1337"/>
        <v>18</v>
      </c>
      <c r="T995" s="1">
        <v>208</v>
      </c>
    </row>
    <row r="996" spans="1:20" x14ac:dyDescent="0.3">
      <c r="A996" s="1">
        <f t="shared" si="1392"/>
        <v>18209</v>
      </c>
      <c r="B996" s="57" t="s">
        <v>13</v>
      </c>
      <c r="C996" s="57"/>
      <c r="D996" s="9">
        <v>0.1</v>
      </c>
      <c r="E996" s="54" t="s">
        <v>14</v>
      </c>
      <c r="F996" s="54"/>
      <c r="G996" s="54"/>
      <c r="H996" s="9" t="s">
        <v>59</v>
      </c>
      <c r="J996" s="1" t="str">
        <f t="shared" ref="J996" si="1414">CONCATENATE(J993,"3")</f>
        <v>133</v>
      </c>
      <c r="M996" s="1" t="e">
        <v>#VALUE!</v>
      </c>
      <c r="N996" s="1" t="e">
        <v>#VALUE!</v>
      </c>
      <c r="O996" s="1" t="e">
        <v>#VALUE!</v>
      </c>
      <c r="P996" s="1" t="e">
        <v>#VALUE!</v>
      </c>
      <c r="S996" s="1">
        <f t="shared" si="1337"/>
        <v>18</v>
      </c>
      <c r="T996" s="1">
        <v>209</v>
      </c>
    </row>
    <row r="997" spans="1:20" x14ac:dyDescent="0.3">
      <c r="A997" s="1">
        <f t="shared" si="1392"/>
        <v>18210</v>
      </c>
      <c r="B997" s="57" t="s">
        <v>15</v>
      </c>
      <c r="C997" s="57"/>
      <c r="D997" s="2">
        <f t="shared" ref="D997" si="1415">MIN(B1004:B1018)</f>
        <v>501.2</v>
      </c>
      <c r="E997" s="4" t="s">
        <v>16</v>
      </c>
      <c r="F997" s="2">
        <f t="shared" ref="F997" si="1416">MAX(B1004:B1018)</f>
        <v>1099.3</v>
      </c>
      <c r="G997" s="5" t="str">
        <f t="shared" ref="G997" si="1417">IF(H996="","",H996)</f>
        <v>hPa</v>
      </c>
      <c r="H997" s="23"/>
      <c r="J997" s="1">
        <f t="shared" ref="J997" si="1418">J993-1</f>
        <v>12</v>
      </c>
      <c r="M997" s="1" t="s">
        <v>2</v>
      </c>
      <c r="N997" s="1" t="s">
        <v>3</v>
      </c>
      <c r="O997" s="1" t="s">
        <v>4</v>
      </c>
      <c r="P997" s="1" t="s">
        <v>5</v>
      </c>
      <c r="S997" s="1">
        <f t="shared" si="1337"/>
        <v>18</v>
      </c>
      <c r="T997" s="1">
        <v>210</v>
      </c>
    </row>
    <row r="998" spans="1:20" x14ac:dyDescent="0.3">
      <c r="A998" s="1">
        <f t="shared" si="1392"/>
        <v>18211</v>
      </c>
      <c r="J998" s="1" t="str">
        <f t="shared" ref="J998" si="1419">CONCATENATE(J997,"1")</f>
        <v>121</v>
      </c>
      <c r="M998" s="1" t="e">
        <f t="array" ref="M998:P1000">LINEST($B1004:$B1017,$C1004:$C1017^{1,2,3},TRUE,TRUE)</f>
        <v>#VALUE!</v>
      </c>
      <c r="N998" s="1" t="e">
        <v>#VALUE!</v>
      </c>
      <c r="O998" s="1" t="e">
        <v>#VALUE!</v>
      </c>
      <c r="P998" s="1" t="e">
        <v>#VALUE!</v>
      </c>
      <c r="S998" s="1">
        <f t="shared" si="1337"/>
        <v>18</v>
      </c>
      <c r="T998" s="1">
        <v>211</v>
      </c>
    </row>
    <row r="999" spans="1:20" x14ac:dyDescent="0.3">
      <c r="A999" s="1">
        <f t="shared" si="1392"/>
        <v>18212</v>
      </c>
      <c r="B999" s="59" t="s">
        <v>17</v>
      </c>
      <c r="C999" s="59"/>
      <c r="D999" s="59"/>
      <c r="E999" s="59"/>
      <c r="F999" s="59"/>
      <c r="G999" s="60" t="s">
        <v>29</v>
      </c>
      <c r="H999" s="61"/>
      <c r="J999" s="1" t="str">
        <f t="shared" ref="J999" si="1420">CONCATENATE(J997,"2")</f>
        <v>122</v>
      </c>
      <c r="M999" s="1" t="e">
        <v>#VALUE!</v>
      </c>
      <c r="N999" s="1" t="e">
        <v>#VALUE!</v>
      </c>
      <c r="O999" s="1" t="e">
        <v>#VALUE!</v>
      </c>
      <c r="P999" s="1" t="e">
        <v>#VALUE!</v>
      </c>
      <c r="S999" s="1">
        <f t="shared" si="1337"/>
        <v>18</v>
      </c>
      <c r="T999" s="1">
        <v>212</v>
      </c>
    </row>
    <row r="1000" spans="1:20" x14ac:dyDescent="0.3">
      <c r="A1000" s="1">
        <f t="shared" si="1392"/>
        <v>18213</v>
      </c>
      <c r="B1000" s="54" t="s">
        <v>18</v>
      </c>
      <c r="C1000" s="54"/>
      <c r="D1000" s="54"/>
      <c r="E1000" s="54" t="str">
        <f t="shared" ref="E1000" si="1421">IF(D993="","",D993)</f>
        <v>E0225/25</v>
      </c>
      <c r="F1000" s="54"/>
      <c r="G1000" s="5" t="s">
        <v>18</v>
      </c>
      <c r="H1000" s="20"/>
      <c r="J1000" s="1" t="str">
        <f t="shared" ref="J1000" si="1422">CONCATENATE(J997,"3")</f>
        <v>123</v>
      </c>
      <c r="M1000" s="1" t="e">
        <v>#VALUE!</v>
      </c>
      <c r="N1000" s="1" t="e">
        <v>#VALUE!</v>
      </c>
      <c r="O1000" s="1" t="e">
        <v>#VALUE!</v>
      </c>
      <c r="P1000" s="1" t="e">
        <v>#VALUE!</v>
      </c>
      <c r="S1000" s="1">
        <f t="shared" si="1337"/>
        <v>18</v>
      </c>
      <c r="T1000" s="1">
        <v>213</v>
      </c>
    </row>
    <row r="1001" spans="1:20" ht="15" customHeight="1" x14ac:dyDescent="0.3">
      <c r="A1001" s="1">
        <f t="shared" si="1392"/>
        <v>18214</v>
      </c>
      <c r="B1001" s="6" t="s">
        <v>19</v>
      </c>
      <c r="C1001" s="6" t="s">
        <v>20</v>
      </c>
      <c r="D1001" s="6" t="s">
        <v>21</v>
      </c>
      <c r="E1001" s="6"/>
      <c r="F1001" s="55" t="s">
        <v>31</v>
      </c>
      <c r="G1001" s="6" t="s">
        <v>19</v>
      </c>
      <c r="H1001" s="6" t="s">
        <v>20</v>
      </c>
      <c r="J1001" s="1">
        <f t="shared" ref="J1001" si="1423">J997-1</f>
        <v>11</v>
      </c>
      <c r="M1001" s="1" t="s">
        <v>2</v>
      </c>
      <c r="N1001" s="1" t="s">
        <v>3</v>
      </c>
      <c r="O1001" s="1" t="s">
        <v>4</v>
      </c>
      <c r="P1001" s="1" t="s">
        <v>5</v>
      </c>
      <c r="S1001" s="1">
        <f t="shared" si="1337"/>
        <v>18</v>
      </c>
      <c r="T1001" s="1">
        <v>214</v>
      </c>
    </row>
    <row r="1002" spans="1:20" x14ac:dyDescent="0.3">
      <c r="A1002" s="1">
        <f t="shared" si="1392"/>
        <v>18215</v>
      </c>
      <c r="B1002" s="6" t="s">
        <v>22</v>
      </c>
      <c r="C1002" s="6" t="s">
        <v>23</v>
      </c>
      <c r="D1002" s="6" t="s">
        <v>24</v>
      </c>
      <c r="E1002" s="6" t="s">
        <v>30</v>
      </c>
      <c r="F1002" s="55"/>
      <c r="G1002" s="6" t="s">
        <v>22</v>
      </c>
      <c r="H1002" s="6" t="s">
        <v>23</v>
      </c>
      <c r="J1002" s="1" t="str">
        <f t="shared" ref="J1002" si="1424">CONCATENATE(J1001,"1")</f>
        <v>111</v>
      </c>
      <c r="M1002" s="1" t="e">
        <f t="array" ref="M1002:P1004">LINEST($B1004:$B1016,$C1004:$C1016^{1,2,3},TRUE,TRUE)</f>
        <v>#VALUE!</v>
      </c>
      <c r="N1002" s="1" t="e">
        <v>#VALUE!</v>
      </c>
      <c r="O1002" s="1" t="e">
        <v>#VALUE!</v>
      </c>
      <c r="P1002" s="1" t="e">
        <v>#VALUE!</v>
      </c>
      <c r="S1002" s="1">
        <f t="shared" si="1337"/>
        <v>18</v>
      </c>
      <c r="T1002" s="1">
        <v>215</v>
      </c>
    </row>
    <row r="1003" spans="1:20" x14ac:dyDescent="0.3">
      <c r="A1003" s="1">
        <f t="shared" si="1392"/>
        <v>18216</v>
      </c>
      <c r="B1003" s="7" t="str">
        <f t="shared" ref="B1003" si="1425">IF(H996="","",H996)</f>
        <v>hPa</v>
      </c>
      <c r="C1003" s="7" t="str">
        <f t="shared" ref="C1003" si="1426">IF(H996="","",H996)</f>
        <v>hPa</v>
      </c>
      <c r="D1003" s="7" t="str">
        <f t="shared" ref="D1003" si="1427">IF(H996="","",H996)</f>
        <v>hPa</v>
      </c>
      <c r="E1003" s="7"/>
      <c r="F1003" s="7" t="str">
        <f t="shared" ref="F1003" si="1428">IF(I996="","",I996)</f>
        <v/>
      </c>
      <c r="G1003" s="7" t="str">
        <f t="shared" ref="G1003" si="1429">IF(H996="","",H996)</f>
        <v>hPa</v>
      </c>
      <c r="H1003" s="7" t="str">
        <f t="shared" ref="H1003" si="1430">IF(H996="","",H996)</f>
        <v>hPa</v>
      </c>
      <c r="J1003" s="1" t="str">
        <f t="shared" ref="J1003" si="1431">CONCATENATE(J1001,"2")</f>
        <v>112</v>
      </c>
      <c r="M1003" s="1" t="e">
        <v>#VALUE!</v>
      </c>
      <c r="N1003" s="1" t="e">
        <v>#VALUE!</v>
      </c>
      <c r="O1003" s="1" t="e">
        <v>#VALUE!</v>
      </c>
      <c r="P1003" s="1" t="e">
        <v>#VALUE!</v>
      </c>
      <c r="S1003" s="1">
        <f t="shared" si="1337"/>
        <v>18</v>
      </c>
      <c r="T1003" s="1">
        <v>216</v>
      </c>
    </row>
    <row r="1004" spans="1:20" x14ac:dyDescent="0.3">
      <c r="A1004" s="1">
        <f t="shared" si="1392"/>
        <v>18217</v>
      </c>
      <c r="B1004" s="24">
        <v>501.2</v>
      </c>
      <c r="C1004" s="24">
        <v>501</v>
      </c>
      <c r="D1004" s="24">
        <v>0.2</v>
      </c>
      <c r="E1004" s="24">
        <v>2</v>
      </c>
      <c r="F1004" s="24">
        <v>1000000</v>
      </c>
      <c r="G1004" s="25"/>
      <c r="H1004" s="25"/>
      <c r="J1004" s="1" t="str">
        <f t="shared" ref="J1004" si="1432">CONCATENATE(J1001,"3")</f>
        <v>113</v>
      </c>
      <c r="M1004" s="1" t="e">
        <v>#VALUE!</v>
      </c>
      <c r="N1004" s="1" t="e">
        <v>#VALUE!</v>
      </c>
      <c r="O1004" s="1" t="e">
        <v>#VALUE!</v>
      </c>
      <c r="P1004" s="1" t="e">
        <v>#VALUE!</v>
      </c>
      <c r="S1004" s="1">
        <f t="shared" si="1337"/>
        <v>18</v>
      </c>
      <c r="T1004" s="1">
        <v>217</v>
      </c>
    </row>
    <row r="1005" spans="1:20" x14ac:dyDescent="0.3">
      <c r="A1005" s="1">
        <f t="shared" si="1392"/>
        <v>18218</v>
      </c>
      <c r="B1005" s="24">
        <v>600.29999999999995</v>
      </c>
      <c r="C1005" s="24">
        <v>600</v>
      </c>
      <c r="D1005" s="24">
        <v>0.2</v>
      </c>
      <c r="E1005" s="24">
        <v>2</v>
      </c>
      <c r="F1005" s="24">
        <v>1000000</v>
      </c>
      <c r="G1005" s="25"/>
      <c r="H1005" s="25"/>
      <c r="J1005" s="1">
        <f t="shared" ref="J1005" si="1433">J1001-1</f>
        <v>10</v>
      </c>
      <c r="M1005" s="1" t="s">
        <v>2</v>
      </c>
      <c r="N1005" s="1" t="s">
        <v>3</v>
      </c>
      <c r="O1005" s="1" t="s">
        <v>4</v>
      </c>
      <c r="P1005" s="1" t="s">
        <v>5</v>
      </c>
      <c r="S1005" s="1">
        <f t="shared" si="1337"/>
        <v>18</v>
      </c>
      <c r="T1005" s="1">
        <v>218</v>
      </c>
    </row>
    <row r="1006" spans="1:20" x14ac:dyDescent="0.3">
      <c r="A1006" s="1">
        <f t="shared" si="1392"/>
        <v>18219</v>
      </c>
      <c r="B1006" s="24">
        <v>700.3</v>
      </c>
      <c r="C1006" s="24">
        <v>700</v>
      </c>
      <c r="D1006" s="24">
        <v>0.2</v>
      </c>
      <c r="E1006" s="24">
        <v>2</v>
      </c>
      <c r="F1006" s="24">
        <v>1000000</v>
      </c>
      <c r="G1006" s="25"/>
      <c r="H1006" s="25"/>
      <c r="J1006" s="1" t="str">
        <f t="shared" ref="J1006" si="1434">CONCATENATE(J1005,"1")</f>
        <v>101</v>
      </c>
      <c r="M1006" s="1" t="e">
        <f t="array" ref="M1006:P1008">LINEST($B1004:$B1015,$C1004:$C1015^{1,2,3},TRUE,TRUE)</f>
        <v>#VALUE!</v>
      </c>
      <c r="N1006" s="1" t="e">
        <v>#VALUE!</v>
      </c>
      <c r="O1006" s="1" t="e">
        <v>#VALUE!</v>
      </c>
      <c r="P1006" s="1" t="e">
        <v>#VALUE!</v>
      </c>
      <c r="S1006" s="1">
        <f t="shared" si="1337"/>
        <v>18</v>
      </c>
      <c r="T1006" s="1">
        <v>219</v>
      </c>
    </row>
    <row r="1007" spans="1:20" x14ac:dyDescent="0.3">
      <c r="A1007" s="1">
        <f t="shared" si="1392"/>
        <v>18220</v>
      </c>
      <c r="B1007" s="24">
        <v>800.3</v>
      </c>
      <c r="C1007" s="24">
        <v>800</v>
      </c>
      <c r="D1007" s="24">
        <v>0.2</v>
      </c>
      <c r="E1007" s="24">
        <v>2</v>
      </c>
      <c r="F1007" s="24">
        <v>1000000</v>
      </c>
      <c r="G1007" s="25"/>
      <c r="H1007" s="25"/>
      <c r="J1007" s="1" t="str">
        <f t="shared" ref="J1007" si="1435">CONCATENATE(J1005,"2")</f>
        <v>102</v>
      </c>
      <c r="M1007" s="1" t="e">
        <v>#VALUE!</v>
      </c>
      <c r="N1007" s="1" t="e">
        <v>#VALUE!</v>
      </c>
      <c r="O1007" s="1" t="e">
        <v>#VALUE!</v>
      </c>
      <c r="P1007" s="1" t="e">
        <v>#VALUE!</v>
      </c>
      <c r="S1007" s="1">
        <f t="shared" si="1337"/>
        <v>18</v>
      </c>
      <c r="T1007" s="1">
        <v>220</v>
      </c>
    </row>
    <row r="1008" spans="1:20" x14ac:dyDescent="0.3">
      <c r="A1008" s="1">
        <f t="shared" si="1392"/>
        <v>18221</v>
      </c>
      <c r="B1008" s="24">
        <v>900.3</v>
      </c>
      <c r="C1008" s="24">
        <v>900</v>
      </c>
      <c r="D1008" s="24">
        <v>0.2</v>
      </c>
      <c r="E1008" s="24">
        <v>2</v>
      </c>
      <c r="F1008" s="24">
        <v>1000000</v>
      </c>
      <c r="G1008" s="25"/>
      <c r="H1008" s="25"/>
      <c r="J1008" s="1" t="str">
        <f t="shared" ref="J1008" si="1436">CONCATENATE(J1005,"3")</f>
        <v>103</v>
      </c>
      <c r="M1008" s="1" t="e">
        <v>#VALUE!</v>
      </c>
      <c r="N1008" s="1" t="e">
        <v>#VALUE!</v>
      </c>
      <c r="O1008" s="1" t="e">
        <v>#VALUE!</v>
      </c>
      <c r="P1008" s="1" t="e">
        <v>#VALUE!</v>
      </c>
      <c r="S1008" s="1">
        <f t="shared" si="1337"/>
        <v>18</v>
      </c>
      <c r="T1008" s="1">
        <v>221</v>
      </c>
    </row>
    <row r="1009" spans="1:20" x14ac:dyDescent="0.3">
      <c r="A1009" s="1">
        <f t="shared" si="1392"/>
        <v>18222</v>
      </c>
      <c r="B1009" s="24">
        <v>950.2</v>
      </c>
      <c r="C1009" s="24">
        <v>950</v>
      </c>
      <c r="D1009" s="24">
        <v>0.2</v>
      </c>
      <c r="E1009" s="24">
        <v>2</v>
      </c>
      <c r="F1009" s="24">
        <v>1000000</v>
      </c>
      <c r="G1009" s="25"/>
      <c r="H1009" s="25"/>
      <c r="J1009" s="1">
        <f t="shared" ref="J1009" si="1437">J1005-1</f>
        <v>9</v>
      </c>
      <c r="M1009" s="1" t="s">
        <v>2</v>
      </c>
      <c r="N1009" s="1" t="s">
        <v>3</v>
      </c>
      <c r="O1009" s="1" t="s">
        <v>4</v>
      </c>
      <c r="P1009" s="1" t="s">
        <v>5</v>
      </c>
      <c r="S1009" s="1">
        <f t="shared" ref="S1009:S1072" si="1438">S1008</f>
        <v>18</v>
      </c>
      <c r="T1009" s="1">
        <v>222</v>
      </c>
    </row>
    <row r="1010" spans="1:20" x14ac:dyDescent="0.3">
      <c r="A1010" s="1">
        <f t="shared" si="1392"/>
        <v>18223</v>
      </c>
      <c r="B1010" s="24">
        <v>1000.3</v>
      </c>
      <c r="C1010" s="24">
        <v>1000</v>
      </c>
      <c r="D1010" s="24">
        <v>0.2</v>
      </c>
      <c r="E1010" s="24">
        <v>2</v>
      </c>
      <c r="F1010" s="24">
        <v>1000000</v>
      </c>
      <c r="G1010" s="25"/>
      <c r="H1010" s="25"/>
      <c r="J1010" s="1" t="str">
        <f t="shared" ref="J1010" si="1439">CONCATENATE(J1009,"1")</f>
        <v>91</v>
      </c>
      <c r="M1010" s="1" t="e">
        <f t="array" ref="M1010:P1012">LINEST($B1004:$B1014,$C1004:$C1014^{1,2,3},TRUE,TRUE)</f>
        <v>#VALUE!</v>
      </c>
      <c r="N1010" s="1" t="e">
        <v>#VALUE!</v>
      </c>
      <c r="O1010" s="1" t="e">
        <v>#VALUE!</v>
      </c>
      <c r="P1010" s="1" t="e">
        <v>#VALUE!</v>
      </c>
      <c r="S1010" s="1">
        <f t="shared" si="1438"/>
        <v>18</v>
      </c>
      <c r="T1010" s="1">
        <v>223</v>
      </c>
    </row>
    <row r="1011" spans="1:20" x14ac:dyDescent="0.3">
      <c r="A1011" s="1">
        <f t="shared" si="1392"/>
        <v>18224</v>
      </c>
      <c r="B1011" s="24">
        <v>1099.3</v>
      </c>
      <c r="C1011" s="24">
        <v>1099</v>
      </c>
      <c r="D1011" s="24">
        <v>0.2</v>
      </c>
      <c r="E1011" s="24">
        <v>2</v>
      </c>
      <c r="F1011" s="24">
        <v>1000000</v>
      </c>
      <c r="G1011" s="25"/>
      <c r="H1011" s="25"/>
      <c r="J1011" s="1" t="str">
        <f t="shared" ref="J1011" si="1440">CONCATENATE(J1009,"2")</f>
        <v>92</v>
      </c>
      <c r="M1011" s="1" t="e">
        <v>#VALUE!</v>
      </c>
      <c r="N1011" s="1" t="e">
        <v>#VALUE!</v>
      </c>
      <c r="O1011" s="1" t="e">
        <v>#VALUE!</v>
      </c>
      <c r="P1011" s="1" t="e">
        <v>#VALUE!</v>
      </c>
      <c r="S1011" s="1">
        <f t="shared" si="1438"/>
        <v>18</v>
      </c>
      <c r="T1011" s="1">
        <v>224</v>
      </c>
    </row>
    <row r="1012" spans="1:20" x14ac:dyDescent="0.3">
      <c r="A1012" s="1">
        <f t="shared" si="1392"/>
        <v>18225</v>
      </c>
      <c r="B1012" s="24"/>
      <c r="C1012" s="24"/>
      <c r="D1012" s="24"/>
      <c r="E1012" s="24"/>
      <c r="F1012" s="24"/>
      <c r="G1012" s="25"/>
      <c r="H1012" s="25"/>
      <c r="J1012" s="1" t="str">
        <f t="shared" ref="J1012" si="1441">CONCATENATE(J1009,"3")</f>
        <v>93</v>
      </c>
      <c r="M1012" s="1" t="e">
        <v>#VALUE!</v>
      </c>
      <c r="N1012" s="1" t="e">
        <v>#VALUE!</v>
      </c>
      <c r="O1012" s="1" t="e">
        <v>#VALUE!</v>
      </c>
      <c r="P1012" s="1" t="e">
        <v>#VALUE!</v>
      </c>
      <c r="S1012" s="1">
        <f t="shared" si="1438"/>
        <v>18</v>
      </c>
      <c r="T1012" s="1">
        <v>225</v>
      </c>
    </row>
    <row r="1013" spans="1:20" x14ac:dyDescent="0.3">
      <c r="A1013" s="1">
        <f t="shared" si="1392"/>
        <v>18226</v>
      </c>
      <c r="B1013" s="24"/>
      <c r="C1013" s="24"/>
      <c r="D1013" s="24"/>
      <c r="E1013" s="24"/>
      <c r="F1013" s="24"/>
      <c r="G1013" s="25"/>
      <c r="H1013" s="25"/>
      <c r="J1013" s="1">
        <f t="shared" ref="J1013" si="1442">J1009-1</f>
        <v>8</v>
      </c>
      <c r="M1013" s="1" t="s">
        <v>2</v>
      </c>
      <c r="N1013" s="1" t="s">
        <v>3</v>
      </c>
      <c r="O1013" s="1" t="s">
        <v>4</v>
      </c>
      <c r="P1013" s="1" t="s">
        <v>5</v>
      </c>
      <c r="S1013" s="1">
        <f t="shared" si="1438"/>
        <v>18</v>
      </c>
      <c r="T1013" s="1">
        <v>226</v>
      </c>
    </row>
    <row r="1014" spans="1:20" x14ac:dyDescent="0.3">
      <c r="A1014" s="1">
        <f t="shared" si="1392"/>
        <v>18227</v>
      </c>
      <c r="B1014" s="24"/>
      <c r="C1014" s="24"/>
      <c r="D1014" s="24"/>
      <c r="E1014" s="24"/>
      <c r="F1014" s="24"/>
      <c r="G1014" s="25"/>
      <c r="H1014" s="25"/>
      <c r="J1014" s="1" t="str">
        <f t="shared" ref="J1014" si="1443">CONCATENATE(J1013,"1")</f>
        <v>81</v>
      </c>
      <c r="M1014" s="1" t="e">
        <f t="array" ref="M1014:P1016">LINEST($B1004:$B1013,$C1004:$C1013^{1,2,3},TRUE,TRUE)</f>
        <v>#VALUE!</v>
      </c>
      <c r="N1014" s="1" t="e">
        <v>#VALUE!</v>
      </c>
      <c r="O1014" s="1" t="e">
        <v>#VALUE!</v>
      </c>
      <c r="P1014" s="1" t="e">
        <v>#VALUE!</v>
      </c>
      <c r="S1014" s="1">
        <f t="shared" si="1438"/>
        <v>18</v>
      </c>
      <c r="T1014" s="1">
        <v>227</v>
      </c>
    </row>
    <row r="1015" spans="1:20" x14ac:dyDescent="0.3">
      <c r="A1015" s="1">
        <f t="shared" si="1392"/>
        <v>18228</v>
      </c>
      <c r="B1015" s="24"/>
      <c r="C1015" s="24"/>
      <c r="D1015" s="24"/>
      <c r="E1015" s="24"/>
      <c r="F1015" s="24"/>
      <c r="G1015" s="25"/>
      <c r="H1015" s="25"/>
      <c r="J1015" s="1" t="str">
        <f t="shared" ref="J1015" si="1444">CONCATENATE(J1013,"2")</f>
        <v>82</v>
      </c>
      <c r="M1015" s="1" t="e">
        <v>#VALUE!</v>
      </c>
      <c r="N1015" s="1" t="e">
        <v>#VALUE!</v>
      </c>
      <c r="O1015" s="1" t="e">
        <v>#VALUE!</v>
      </c>
      <c r="P1015" s="1" t="e">
        <v>#VALUE!</v>
      </c>
      <c r="S1015" s="1">
        <f t="shared" si="1438"/>
        <v>18</v>
      </c>
      <c r="T1015" s="1">
        <v>228</v>
      </c>
    </row>
    <row r="1016" spans="1:20" x14ac:dyDescent="0.3">
      <c r="A1016" s="1">
        <f t="shared" si="1392"/>
        <v>18229</v>
      </c>
      <c r="B1016" s="24"/>
      <c r="C1016" s="24"/>
      <c r="D1016" s="24"/>
      <c r="E1016" s="24"/>
      <c r="F1016" s="24"/>
      <c r="G1016" s="25"/>
      <c r="H1016" s="25"/>
      <c r="J1016" s="1" t="str">
        <f t="shared" ref="J1016" si="1445">CONCATENATE(J1013,"3")</f>
        <v>83</v>
      </c>
      <c r="M1016" s="1" t="e">
        <v>#VALUE!</v>
      </c>
      <c r="N1016" s="1" t="e">
        <v>#VALUE!</v>
      </c>
      <c r="O1016" s="1" t="e">
        <v>#VALUE!</v>
      </c>
      <c r="P1016" s="1" t="e">
        <v>#VALUE!</v>
      </c>
      <c r="S1016" s="1">
        <f t="shared" si="1438"/>
        <v>18</v>
      </c>
      <c r="T1016" s="1">
        <v>229</v>
      </c>
    </row>
    <row r="1017" spans="1:20" x14ac:dyDescent="0.3">
      <c r="A1017" s="1">
        <f t="shared" si="1392"/>
        <v>18230</v>
      </c>
      <c r="B1017" s="24"/>
      <c r="C1017" s="24"/>
      <c r="D1017" s="24"/>
      <c r="E1017" s="24"/>
      <c r="F1017" s="24"/>
      <c r="G1017" s="25"/>
      <c r="H1017" s="25"/>
      <c r="J1017" s="1">
        <f t="shared" ref="J1017" si="1446">J1013-1</f>
        <v>7</v>
      </c>
      <c r="M1017" s="1" t="s">
        <v>2</v>
      </c>
      <c r="N1017" s="1" t="s">
        <v>3</v>
      </c>
      <c r="O1017" s="1" t="s">
        <v>4</v>
      </c>
      <c r="P1017" s="1" t="s">
        <v>5</v>
      </c>
      <c r="S1017" s="1">
        <f t="shared" si="1438"/>
        <v>18</v>
      </c>
      <c r="T1017" s="1">
        <v>230</v>
      </c>
    </row>
    <row r="1018" spans="1:20" x14ac:dyDescent="0.3">
      <c r="A1018" s="1">
        <f t="shared" si="1392"/>
        <v>18231</v>
      </c>
      <c r="B1018" s="24"/>
      <c r="C1018" s="24"/>
      <c r="D1018" s="24"/>
      <c r="E1018" s="24"/>
      <c r="F1018" s="24"/>
      <c r="G1018" s="25"/>
      <c r="H1018" s="25"/>
      <c r="J1018" s="1" t="str">
        <f t="shared" ref="J1018" si="1447">CONCATENATE(J1017,"1")</f>
        <v>71</v>
      </c>
      <c r="M1018" s="1" t="e">
        <f t="array" ref="M1018:P1020">LINEST($B1004:$B1012,$C1004:$C1012^{1,2,3},TRUE,TRUE)</f>
        <v>#VALUE!</v>
      </c>
      <c r="N1018" s="1" t="e">
        <v>#VALUE!</v>
      </c>
      <c r="O1018" s="1" t="e">
        <v>#VALUE!</v>
      </c>
      <c r="P1018" s="1" t="e">
        <v>#VALUE!</v>
      </c>
      <c r="S1018" s="1">
        <f t="shared" si="1438"/>
        <v>18</v>
      </c>
      <c r="T1018" s="1">
        <v>231</v>
      </c>
    </row>
    <row r="1019" spans="1:20" x14ac:dyDescent="0.3">
      <c r="A1019" s="1">
        <f t="shared" si="1392"/>
        <v>18232</v>
      </c>
      <c r="B1019" s="2">
        <f t="shared" ref="B1019" si="1448">COUNT(B1004:B1018)-2</f>
        <v>6</v>
      </c>
      <c r="J1019" s="1" t="str">
        <f t="shared" ref="J1019" si="1449">CONCATENATE(J1017,"2")</f>
        <v>72</v>
      </c>
      <c r="M1019" s="1" t="e">
        <v>#VALUE!</v>
      </c>
      <c r="N1019" s="1" t="e">
        <v>#VALUE!</v>
      </c>
      <c r="O1019" s="1" t="e">
        <v>#VALUE!</v>
      </c>
      <c r="P1019" s="1" t="e">
        <v>#VALUE!</v>
      </c>
      <c r="S1019" s="1">
        <f t="shared" si="1438"/>
        <v>18</v>
      </c>
      <c r="T1019" s="1">
        <v>232</v>
      </c>
    </row>
    <row r="1020" spans="1:20" x14ac:dyDescent="0.3">
      <c r="A1020" s="1">
        <f t="shared" si="1392"/>
        <v>18233</v>
      </c>
      <c r="J1020" s="1" t="str">
        <f t="shared" ref="J1020" si="1450">CONCATENATE(J1017,"3")</f>
        <v>73</v>
      </c>
      <c r="M1020" s="1" t="e">
        <v>#VALUE!</v>
      </c>
      <c r="N1020" s="1" t="e">
        <v>#VALUE!</v>
      </c>
      <c r="O1020" s="1" t="e">
        <v>#VALUE!</v>
      </c>
      <c r="P1020" s="1" t="e">
        <v>#VALUE!</v>
      </c>
      <c r="S1020" s="1">
        <f t="shared" si="1438"/>
        <v>18</v>
      </c>
      <c r="T1020" s="1">
        <v>233</v>
      </c>
    </row>
    <row r="1021" spans="1:20" x14ac:dyDescent="0.3">
      <c r="A1021" s="1">
        <f t="shared" si="1392"/>
        <v>18234</v>
      </c>
      <c r="B1021" s="54" t="s">
        <v>25</v>
      </c>
      <c r="C1021" s="54"/>
      <c r="D1021" s="54"/>
      <c r="E1021" s="54"/>
      <c r="F1021" s="54"/>
      <c r="G1021" s="54"/>
      <c r="H1021" s="54"/>
      <c r="J1021" s="1">
        <f t="shared" ref="J1021" si="1451">J1017-1</f>
        <v>6</v>
      </c>
      <c r="M1021" s="1" t="s">
        <v>2</v>
      </c>
      <c r="N1021" s="1" t="s">
        <v>3</v>
      </c>
      <c r="O1021" s="1" t="s">
        <v>4</v>
      </c>
      <c r="P1021" s="1" t="s">
        <v>5</v>
      </c>
      <c r="S1021" s="1">
        <f t="shared" si="1438"/>
        <v>18</v>
      </c>
      <c r="T1021" s="1">
        <v>234</v>
      </c>
    </row>
    <row r="1022" spans="1:20" x14ac:dyDescent="0.3">
      <c r="A1022" s="1">
        <f t="shared" si="1392"/>
        <v>18235</v>
      </c>
      <c r="B1022" s="56"/>
      <c r="C1022" s="56"/>
      <c r="D1022" s="56"/>
      <c r="E1022" s="56"/>
      <c r="F1022" s="56"/>
      <c r="G1022" s="56"/>
      <c r="H1022" s="56"/>
      <c r="J1022" s="1" t="str">
        <f t="shared" ref="J1022" si="1452">CONCATENATE(J1021,"1")</f>
        <v>61</v>
      </c>
      <c r="M1022" s="1">
        <f t="array" ref="M1022:P1024">LINEST($B1004:$B1011,$C1004:$C1011^{1,2,3},TRUE,TRUE)</f>
        <v>4.8746548515543508E-9</v>
      </c>
      <c r="N1022" s="1">
        <v>-1.2168607075886795E-5</v>
      </c>
      <c r="O1022" s="1">
        <v>1.0098455249487905</v>
      </c>
      <c r="P1022" s="1">
        <v>-2.2887439353229531</v>
      </c>
      <c r="S1022" s="1">
        <f t="shared" si="1438"/>
        <v>18</v>
      </c>
      <c r="T1022" s="1">
        <v>235</v>
      </c>
    </row>
    <row r="1023" spans="1:20" x14ac:dyDescent="0.3">
      <c r="A1023" s="1">
        <f t="shared" si="1392"/>
        <v>18236</v>
      </c>
      <c r="B1023" s="56"/>
      <c r="C1023" s="56"/>
      <c r="D1023" s="56"/>
      <c r="E1023" s="56"/>
      <c r="F1023" s="56"/>
      <c r="G1023" s="56"/>
      <c r="H1023" s="56"/>
      <c r="J1023" s="1" t="str">
        <f t="shared" ref="J1023" si="1453">CONCATENATE(J1021,"2")</f>
        <v>62</v>
      </c>
      <c r="M1023" s="1">
        <v>2.5314169985598717E-9</v>
      </c>
      <c r="N1023" s="1">
        <v>6.1204788774166873E-6</v>
      </c>
      <c r="O1023" s="1">
        <v>4.790108781224209E-3</v>
      </c>
      <c r="P1023" s="1">
        <v>1.2068439038645471</v>
      </c>
      <c r="S1023" s="1">
        <f t="shared" si="1438"/>
        <v>18</v>
      </c>
      <c r="T1023" s="1">
        <v>236</v>
      </c>
    </row>
    <row r="1024" spans="1:20" x14ac:dyDescent="0.3">
      <c r="A1024" s="1">
        <f t="shared" si="1392"/>
        <v>18237</v>
      </c>
      <c r="J1024" s="1" t="str">
        <f t="shared" ref="J1024" si="1454">CONCATENATE(J1021,"3")</f>
        <v>63</v>
      </c>
      <c r="M1024" s="1">
        <v>0.99999997847068878</v>
      </c>
      <c r="N1024" s="1">
        <v>4.00845254424083E-2</v>
      </c>
      <c r="O1024" s="1" t="e">
        <v>#N/A</v>
      </c>
      <c r="P1024" s="1" t="e">
        <v>#N/A</v>
      </c>
      <c r="S1024" s="1">
        <f t="shared" si="1438"/>
        <v>18</v>
      </c>
      <c r="T1024" s="1">
        <v>237</v>
      </c>
    </row>
    <row r="1025" spans="1:20" ht="15" customHeight="1" x14ac:dyDescent="0.3">
      <c r="A1025" s="1">
        <f t="shared" si="1392"/>
        <v>18238</v>
      </c>
      <c r="J1025" s="1">
        <f t="shared" ref="J1025" si="1455">J1021-1</f>
        <v>5</v>
      </c>
      <c r="M1025" s="1" t="s">
        <v>2</v>
      </c>
      <c r="N1025" s="1" t="s">
        <v>3</v>
      </c>
      <c r="O1025" s="1" t="s">
        <v>4</v>
      </c>
      <c r="P1025" s="1" t="s">
        <v>5</v>
      </c>
      <c r="S1025" s="1">
        <f t="shared" si="1438"/>
        <v>18</v>
      </c>
      <c r="T1025" s="1">
        <v>238</v>
      </c>
    </row>
    <row r="1026" spans="1:20" x14ac:dyDescent="0.3">
      <c r="A1026" s="1">
        <f t="shared" si="1392"/>
        <v>18239</v>
      </c>
      <c r="J1026" s="1" t="str">
        <f t="shared" ref="J1026" si="1456">CONCATENATE(J1025,"1")</f>
        <v>51</v>
      </c>
      <c r="M1026" s="1">
        <f t="array" ref="M1026:P1028">LINEST($B1004:$B1010,$C1004:$C1010^{1,2,3},TRUE,TRUE)</f>
        <v>6.7049066032199572E-9</v>
      </c>
      <c r="N1026" s="1">
        <v>-1.6172003298654468E-5</v>
      </c>
      <c r="O1026" s="1">
        <v>1.0126792809260621</v>
      </c>
      <c r="P1026" s="1">
        <v>-2.9368910461106164</v>
      </c>
      <c r="S1026" s="1">
        <f t="shared" si="1438"/>
        <v>18</v>
      </c>
      <c r="T1026" s="1">
        <v>239</v>
      </c>
    </row>
    <row r="1027" spans="1:20" x14ac:dyDescent="0.3">
      <c r="A1027" s="1">
        <f t="shared" si="1392"/>
        <v>18240</v>
      </c>
      <c r="E1027" s="26"/>
      <c r="F1027" s="26"/>
      <c r="G1027" s="26"/>
      <c r="H1027" s="26"/>
      <c r="J1027" s="1" t="str">
        <f t="shared" ref="J1027" si="1457">CONCATENATE(J1025,"2")</f>
        <v>52</v>
      </c>
      <c r="M1027" s="1">
        <v>5.51544421175481E-9</v>
      </c>
      <c r="N1027" s="1">
        <v>1.2416920705392326E-5</v>
      </c>
      <c r="O1027" s="1">
        <v>9.0858191942641293E-3</v>
      </c>
      <c r="P1027" s="1">
        <v>2.1549610830724721</v>
      </c>
      <c r="S1027" s="1">
        <f t="shared" si="1438"/>
        <v>18</v>
      </c>
      <c r="T1027" s="1">
        <v>240</v>
      </c>
    </row>
    <row r="1028" spans="1:20" x14ac:dyDescent="0.3">
      <c r="A1028" s="1">
        <f t="shared" si="1392"/>
        <v>18241</v>
      </c>
      <c r="B1028" s="54" t="s">
        <v>90</v>
      </c>
      <c r="C1028" s="54"/>
      <c r="D1028" s="54"/>
      <c r="E1028" s="27">
        <f t="shared" ref="E1028" si="1458">IF(D990="","",MAX(E1029,E1030))</f>
        <v>0.29999999999995453</v>
      </c>
      <c r="F1028" s="26"/>
      <c r="G1028" s="26"/>
      <c r="H1028" s="26"/>
      <c r="J1028" s="1" t="str">
        <f t="shared" ref="J1028" si="1459">CONCATENATE(J1025,"3")</f>
        <v>53</v>
      </c>
      <c r="M1028" s="1">
        <v>0.99999997068085777</v>
      </c>
      <c r="N1028" s="1">
        <v>4.5167806694878666E-2</v>
      </c>
      <c r="O1028" s="1" t="e">
        <v>#N/A</v>
      </c>
      <c r="P1028" s="1" t="e">
        <v>#N/A</v>
      </c>
      <c r="S1028" s="1">
        <f t="shared" si="1438"/>
        <v>18</v>
      </c>
      <c r="T1028" s="1">
        <v>241</v>
      </c>
    </row>
    <row r="1029" spans="1:20" x14ac:dyDescent="0.3">
      <c r="A1029" s="1">
        <f t="shared" si="1392"/>
        <v>18242</v>
      </c>
      <c r="B1029" s="2" t="s">
        <v>26</v>
      </c>
      <c r="C1029" s="2" t="s">
        <v>27</v>
      </c>
      <c r="D1029" s="2" t="s">
        <v>28</v>
      </c>
      <c r="E1029" s="28">
        <f t="shared" ref="E1029" si="1460">ABS(MIN(D1030:D1044))</f>
        <v>0</v>
      </c>
      <c r="F1029" s="26"/>
      <c r="H1029" s="26"/>
      <c r="J1029" s="1">
        <f t="shared" ref="J1029" si="1461">J1025-1</f>
        <v>4</v>
      </c>
      <c r="M1029" s="1" t="s">
        <v>2</v>
      </c>
      <c r="N1029" s="1" t="s">
        <v>3</v>
      </c>
      <c r="O1029" s="1" t="s">
        <v>4</v>
      </c>
      <c r="P1029" s="1" t="s">
        <v>5</v>
      </c>
      <c r="S1029" s="1">
        <f t="shared" si="1438"/>
        <v>18</v>
      </c>
      <c r="T1029" s="1">
        <v>242</v>
      </c>
    </row>
    <row r="1030" spans="1:20" x14ac:dyDescent="0.3">
      <c r="A1030" s="1">
        <f t="shared" si="1392"/>
        <v>18243</v>
      </c>
      <c r="B1030" s="2">
        <f t="shared" ref="B1030:B1044" si="1462">C1004-B1004</f>
        <v>-0.19999999999998863</v>
      </c>
      <c r="C1030" s="2">
        <f t="shared" ref="C1030:C1044" si="1463">H1004-G1004</f>
        <v>0</v>
      </c>
      <c r="D1030" s="2">
        <f t="shared" ref="D1030:D1044" si="1464">C1030-B1030</f>
        <v>0.19999999999998863</v>
      </c>
      <c r="E1030" s="28">
        <f t="shared" ref="E1030" si="1465">ABS(MAX(D1030:D1044))</f>
        <v>0.29999999999995453</v>
      </c>
      <c r="F1030" s="26"/>
      <c r="H1030" s="26"/>
      <c r="J1030" s="1" t="str">
        <f t="shared" ref="J1030" si="1466">CONCATENATE(J1029,"1")</f>
        <v>41</v>
      </c>
      <c r="M1030" s="1">
        <f t="array" ref="M1030:P1032">LINEST($B1004:$B1009,$C1004:$C1009^{1,2,3},TRUE,TRUE)</f>
        <v>-1.2249303815092107E-9</v>
      </c>
      <c r="N1030" s="1">
        <v>5.4532544974390984E-7</v>
      </c>
      <c r="O1030" s="1">
        <v>1.0012320407749893</v>
      </c>
      <c r="P1030" s="1">
        <v>-0.39299321147260557</v>
      </c>
      <c r="S1030" s="1">
        <f t="shared" si="1438"/>
        <v>18</v>
      </c>
      <c r="T1030" s="1">
        <v>243</v>
      </c>
    </row>
    <row r="1031" spans="1:20" x14ac:dyDescent="0.3">
      <c r="A1031" s="1">
        <f t="shared" si="1392"/>
        <v>18244</v>
      </c>
      <c r="B1031" s="2">
        <f t="shared" si="1462"/>
        <v>-0.29999999999995453</v>
      </c>
      <c r="C1031" s="2">
        <f t="shared" si="1463"/>
        <v>0</v>
      </c>
      <c r="D1031" s="2">
        <f t="shared" si="1464"/>
        <v>0.29999999999995453</v>
      </c>
      <c r="E1031" s="29" t="s">
        <v>32</v>
      </c>
      <c r="F1031" s="26"/>
      <c r="H1031" s="26"/>
      <c r="J1031" s="1" t="str">
        <f t="shared" ref="J1031" si="1467">CONCATENATE(J1029,"2")</f>
        <v>42</v>
      </c>
      <c r="M1031" s="1">
        <v>6.6114151105703967E-9</v>
      </c>
      <c r="N1031" s="1">
        <v>1.4372992285493694E-5</v>
      </c>
      <c r="O1031" s="1">
        <v>1.0174533089115211E-2</v>
      </c>
      <c r="P1031" s="1">
        <v>2.3410134690035527</v>
      </c>
      <c r="S1031" s="1">
        <f t="shared" si="1438"/>
        <v>18</v>
      </c>
      <c r="T1031" s="1">
        <v>244</v>
      </c>
    </row>
    <row r="1032" spans="1:20" x14ac:dyDescent="0.3">
      <c r="A1032" s="1">
        <f t="shared" si="1392"/>
        <v>18245</v>
      </c>
      <c r="B1032" s="2">
        <f t="shared" si="1462"/>
        <v>-0.29999999999995453</v>
      </c>
      <c r="C1032" s="2">
        <f t="shared" si="1463"/>
        <v>0</v>
      </c>
      <c r="D1032" s="2">
        <f t="shared" si="1464"/>
        <v>0.29999999999995453</v>
      </c>
      <c r="E1032" s="27">
        <f t="shared" ref="E1032" si="1468">IF(D990="","",MAX(E1033,E1034))</f>
        <v>0.29999999999995453</v>
      </c>
      <c r="F1032" s="26"/>
      <c r="H1032" s="26"/>
      <c r="J1032" s="1" t="str">
        <f t="shared" ref="J1032" si="1469">CONCATENATE(J1029,"3")</f>
        <v>43</v>
      </c>
      <c r="M1032" s="1">
        <v>0.99999998253602618</v>
      </c>
      <c r="N1032" s="1">
        <v>3.6384525026191092E-2</v>
      </c>
      <c r="O1032" s="1" t="e">
        <v>#N/A</v>
      </c>
      <c r="P1032" s="1" t="e">
        <v>#N/A</v>
      </c>
      <c r="S1032" s="1">
        <f t="shared" si="1438"/>
        <v>18</v>
      </c>
      <c r="T1032" s="1">
        <v>245</v>
      </c>
    </row>
    <row r="1033" spans="1:20" x14ac:dyDescent="0.3">
      <c r="A1033" s="1">
        <f t="shared" si="1392"/>
        <v>18246</v>
      </c>
      <c r="B1033" s="2">
        <f t="shared" si="1462"/>
        <v>-0.29999999999995453</v>
      </c>
      <c r="C1033" s="2">
        <f t="shared" si="1463"/>
        <v>0</v>
      </c>
      <c r="D1033" s="2">
        <f t="shared" si="1464"/>
        <v>0.29999999999995453</v>
      </c>
      <c r="E1033" s="28">
        <f t="shared" ref="E1033" si="1470">ABS(MIN(B1030:B1044))</f>
        <v>0.29999999999995453</v>
      </c>
      <c r="F1033" s="26"/>
      <c r="H1033" s="26"/>
      <c r="J1033" s="1">
        <f t="shared" ref="J1033" si="1471">J1029-1</f>
        <v>3</v>
      </c>
      <c r="M1033" s="1" t="s">
        <v>2</v>
      </c>
      <c r="N1033" s="1" t="s">
        <v>3</v>
      </c>
      <c r="O1033" s="1" t="s">
        <v>4</v>
      </c>
      <c r="P1033" s="1" t="s">
        <v>5</v>
      </c>
      <c r="S1033" s="1">
        <f t="shared" si="1438"/>
        <v>18</v>
      </c>
      <c r="T1033" s="1">
        <v>246</v>
      </c>
    </row>
    <row r="1034" spans="1:20" x14ac:dyDescent="0.3">
      <c r="A1034" s="1">
        <f t="shared" si="1392"/>
        <v>18247</v>
      </c>
      <c r="B1034" s="2">
        <f t="shared" si="1462"/>
        <v>-0.29999999999995453</v>
      </c>
      <c r="C1034" s="2">
        <f t="shared" si="1463"/>
        <v>0</v>
      </c>
      <c r="D1034" s="2">
        <f t="shared" si="1464"/>
        <v>0.29999999999995453</v>
      </c>
      <c r="E1034" s="28">
        <f t="shared" ref="E1034" si="1472">ABS(MAX(B1030:B1044))</f>
        <v>0</v>
      </c>
      <c r="F1034" s="26"/>
      <c r="H1034" s="26"/>
      <c r="J1034" s="1" t="str">
        <f t="shared" ref="J1034" si="1473">CONCATENATE(J1033,"1")</f>
        <v>31</v>
      </c>
      <c r="M1034" s="1">
        <f t="array" ref="M1034:P1036">LINEST($B1004:$B1008,$C1004:$C1008^{1,2,3},TRUE,TRUE)</f>
        <v>8.4498557757525618E-9</v>
      </c>
      <c r="N1034" s="1">
        <v>-1.9194320755444757E-5</v>
      </c>
      <c r="O1034" s="1">
        <v>1.0143664572869313</v>
      </c>
      <c r="P1034" s="1">
        <v>-3.2409115926951668</v>
      </c>
      <c r="S1034" s="1">
        <f t="shared" si="1438"/>
        <v>18</v>
      </c>
      <c r="T1034" s="1">
        <v>247</v>
      </c>
    </row>
    <row r="1035" spans="1:20" x14ac:dyDescent="0.3">
      <c r="A1035" s="1">
        <f t="shared" si="1392"/>
        <v>18248</v>
      </c>
      <c r="B1035" s="2">
        <f t="shared" si="1462"/>
        <v>-0.20000000000004547</v>
      </c>
      <c r="C1035" s="2">
        <f t="shared" si="1463"/>
        <v>0</v>
      </c>
      <c r="D1035" s="2">
        <f t="shared" si="1464"/>
        <v>0.20000000000004547</v>
      </c>
      <c r="E1035" s="29" t="s">
        <v>33</v>
      </c>
      <c r="F1035" s="26"/>
      <c r="J1035" s="1" t="str">
        <f t="shared" ref="J1035" si="1474">CONCATENATE(J1033,"2")</f>
        <v>32</v>
      </c>
      <c r="M1035" s="1">
        <v>3.2201624111860268E-9</v>
      </c>
      <c r="N1035" s="1">
        <v>6.7752601971795901E-6</v>
      </c>
      <c r="O1035" s="1">
        <v>4.6544766561847197E-3</v>
      </c>
      <c r="P1035" s="1">
        <v>1.042460572471452</v>
      </c>
      <c r="S1035" s="1">
        <f t="shared" si="1438"/>
        <v>18</v>
      </c>
      <c r="T1035" s="1">
        <v>248</v>
      </c>
    </row>
    <row r="1036" spans="1:20" x14ac:dyDescent="0.3">
      <c r="A1036" s="1">
        <f t="shared" si="1392"/>
        <v>18249</v>
      </c>
      <c r="B1036" s="2">
        <f t="shared" si="1462"/>
        <v>-0.29999999999995453</v>
      </c>
      <c r="C1036" s="2">
        <f t="shared" si="1463"/>
        <v>0</v>
      </c>
      <c r="D1036" s="2">
        <f t="shared" si="1464"/>
        <v>0.29999999999995453</v>
      </c>
      <c r="E1036" s="27">
        <f t="shared" ref="E1036" si="1475">IF(D990="","",MAX(E1037,E1038))</f>
        <v>0.2</v>
      </c>
      <c r="F1036" s="26"/>
      <c r="J1036" s="1" t="str">
        <f t="shared" ref="J1036" si="1476">CONCATENATE(J1033,"3")</f>
        <v>33</v>
      </c>
      <c r="M1036" s="1">
        <v>0.99999999852284072</v>
      </c>
      <c r="N1036" s="1">
        <v>1.2131987283775292E-2</v>
      </c>
      <c r="O1036" s="1" t="e">
        <v>#N/A</v>
      </c>
      <c r="P1036" s="1" t="e">
        <v>#N/A</v>
      </c>
      <c r="S1036" s="1">
        <f t="shared" si="1438"/>
        <v>18</v>
      </c>
      <c r="T1036" s="1">
        <v>249</v>
      </c>
    </row>
    <row r="1037" spans="1:20" x14ac:dyDescent="0.3">
      <c r="A1037" s="1">
        <f t="shared" si="1392"/>
        <v>18250</v>
      </c>
      <c r="B1037" s="2">
        <f t="shared" si="1462"/>
        <v>-0.29999999999995453</v>
      </c>
      <c r="C1037" s="2">
        <f t="shared" si="1463"/>
        <v>0</v>
      </c>
      <c r="D1037" s="2">
        <f t="shared" si="1464"/>
        <v>0.29999999999995453</v>
      </c>
      <c r="E1037" s="28">
        <f t="shared" ref="E1037" si="1477">ABS(MIN(D1004:D1018))</f>
        <v>0.2</v>
      </c>
      <c r="F1037" s="26"/>
      <c r="J1037" s="1">
        <f t="shared" ref="J1037" si="1478">J1033-1</f>
        <v>2</v>
      </c>
      <c r="N1037" s="1" t="s">
        <v>3</v>
      </c>
      <c r="O1037" s="1" t="s">
        <v>4</v>
      </c>
      <c r="P1037" s="1" t="s">
        <v>5</v>
      </c>
      <c r="S1037" s="1">
        <f t="shared" si="1438"/>
        <v>18</v>
      </c>
      <c r="T1037" s="1">
        <v>250</v>
      </c>
    </row>
    <row r="1038" spans="1:20" x14ac:dyDescent="0.3">
      <c r="A1038" s="1">
        <f t="shared" si="1392"/>
        <v>18251</v>
      </c>
      <c r="B1038" s="2">
        <f t="shared" si="1462"/>
        <v>0</v>
      </c>
      <c r="C1038" s="2">
        <f t="shared" si="1463"/>
        <v>0</v>
      </c>
      <c r="D1038" s="2">
        <f t="shared" si="1464"/>
        <v>0</v>
      </c>
      <c r="E1038" s="28">
        <f t="shared" ref="E1038" si="1479">ABS(MAX(D1004:D1018))</f>
        <v>0.2</v>
      </c>
      <c r="F1038" s="26"/>
      <c r="J1038" s="1" t="str">
        <f t="shared" ref="J1038" si="1480">CONCATENATE(J1037,"1")</f>
        <v>21</v>
      </c>
      <c r="N1038" s="1">
        <f t="array" ref="N1038:P1040">LINEST($B1004:$B1007,$C1004:$C1007^{1,2},TRUE,TRUE)</f>
        <v>-2.5226163027241325E-6</v>
      </c>
      <c r="O1038" s="1">
        <v>1.0035824710628589</v>
      </c>
      <c r="P1038" s="1">
        <v>-0.95653243220932715</v>
      </c>
      <c r="S1038" s="1">
        <f t="shared" si="1438"/>
        <v>18</v>
      </c>
      <c r="T1038" s="1">
        <v>251</v>
      </c>
    </row>
    <row r="1039" spans="1:20" x14ac:dyDescent="0.3">
      <c r="A1039" s="1">
        <f t="shared" si="1392"/>
        <v>18252</v>
      </c>
      <c r="B1039" s="2">
        <f t="shared" si="1462"/>
        <v>0</v>
      </c>
      <c r="C1039" s="2">
        <f t="shared" si="1463"/>
        <v>0</v>
      </c>
      <c r="D1039" s="2">
        <f t="shared" si="1464"/>
        <v>0</v>
      </c>
      <c r="E1039" s="26"/>
      <c r="F1039" s="26"/>
      <c r="J1039" s="1" t="str">
        <f t="shared" ref="J1039" si="1481">CONCATENATE(J1037,"2")</f>
        <v>22</v>
      </c>
      <c r="N1039" s="1">
        <v>1.1383938306663628E-6</v>
      </c>
      <c r="O1039" s="1">
        <v>1.4846274179563773E-3</v>
      </c>
      <c r="P1039" s="1">
        <v>0.47239725584362902</v>
      </c>
      <c r="S1039" s="1">
        <f t="shared" si="1438"/>
        <v>18</v>
      </c>
      <c r="T1039" s="1">
        <v>252</v>
      </c>
    </row>
    <row r="1040" spans="1:20" x14ac:dyDescent="0.3">
      <c r="A1040" s="1">
        <f t="shared" si="1392"/>
        <v>18253</v>
      </c>
      <c r="B1040" s="2">
        <f t="shared" si="1462"/>
        <v>0</v>
      </c>
      <c r="C1040" s="2">
        <f t="shared" si="1463"/>
        <v>0</v>
      </c>
      <c r="D1040" s="2">
        <f t="shared" si="1464"/>
        <v>0</v>
      </c>
      <c r="E1040" s="26"/>
      <c r="F1040" s="26"/>
      <c r="J1040" s="1" t="str">
        <f t="shared" ref="J1040" si="1482">CONCATENATE(J1037,"3")</f>
        <v>23</v>
      </c>
      <c r="N1040" s="1">
        <v>0.99999998973196602</v>
      </c>
      <c r="O1040" s="1">
        <v>2.259724691858267E-2</v>
      </c>
      <c r="P1040" s="1" t="e">
        <v>#N/A</v>
      </c>
      <c r="S1040" s="1">
        <f t="shared" si="1438"/>
        <v>18</v>
      </c>
      <c r="T1040" s="1">
        <v>253</v>
      </c>
    </row>
    <row r="1041" spans="1:20" x14ac:dyDescent="0.3">
      <c r="A1041" s="1">
        <f t="shared" si="1392"/>
        <v>18254</v>
      </c>
      <c r="B1041" s="2">
        <f t="shared" si="1462"/>
        <v>0</v>
      </c>
      <c r="C1041" s="2">
        <f t="shared" si="1463"/>
        <v>0</v>
      </c>
      <c r="D1041" s="2">
        <f t="shared" si="1464"/>
        <v>0</v>
      </c>
      <c r="E1041" s="26"/>
      <c r="F1041" s="26"/>
      <c r="J1041" s="1">
        <f t="shared" ref="J1041" si="1483">J1037-1</f>
        <v>1</v>
      </c>
      <c r="O1041" s="1" t="s">
        <v>4</v>
      </c>
      <c r="P1041" s="1" t="s">
        <v>5</v>
      </c>
      <c r="S1041" s="1">
        <f t="shared" si="1438"/>
        <v>18</v>
      </c>
      <c r="T1041" s="1">
        <v>254</v>
      </c>
    </row>
    <row r="1042" spans="1:20" x14ac:dyDescent="0.3">
      <c r="A1042" s="1">
        <f t="shared" si="1392"/>
        <v>18255</v>
      </c>
      <c r="B1042" s="2">
        <f t="shared" si="1462"/>
        <v>0</v>
      </c>
      <c r="C1042" s="2">
        <f t="shared" si="1463"/>
        <v>0</v>
      </c>
      <c r="D1042" s="2">
        <f t="shared" si="1464"/>
        <v>0</v>
      </c>
      <c r="E1042" s="26"/>
      <c r="F1042" s="26"/>
      <c r="J1042" s="1" t="str">
        <f t="shared" ref="J1042" si="1484">CONCATENATE(J1041,"1")</f>
        <v>11</v>
      </c>
      <c r="O1042" s="1">
        <f t="array" ref="O1042:P1044">LINEST($B1004:$B1006,$C1004:$C1006^{1},TRUE,TRUE)</f>
        <v>1.0005016666105517</v>
      </c>
      <c r="P1042" s="1">
        <v>-3.4500521867926182E-2</v>
      </c>
      <c r="S1042" s="1">
        <f t="shared" si="1438"/>
        <v>18</v>
      </c>
      <c r="T1042" s="1">
        <v>255</v>
      </c>
    </row>
    <row r="1043" spans="1:20" x14ac:dyDescent="0.3">
      <c r="A1043" s="1">
        <f t="shared" si="1392"/>
        <v>18256</v>
      </c>
      <c r="B1043" s="2">
        <f t="shared" si="1462"/>
        <v>0</v>
      </c>
      <c r="C1043" s="2">
        <f t="shared" si="1463"/>
        <v>0</v>
      </c>
      <c r="D1043" s="2">
        <f t="shared" si="1464"/>
        <v>0</v>
      </c>
      <c r="E1043" s="26"/>
      <c r="F1043" s="26"/>
      <c r="J1043" s="1" t="str">
        <f t="shared" ref="J1043" si="1485">CONCATENATE(J1041,"2")</f>
        <v>12</v>
      </c>
      <c r="O1043" s="1">
        <v>2.9158122749543678E-4</v>
      </c>
      <c r="P1043" s="1">
        <v>0.17664151841357512</v>
      </c>
      <c r="S1043" s="1">
        <f t="shared" si="1438"/>
        <v>18</v>
      </c>
      <c r="T1043" s="1">
        <v>256</v>
      </c>
    </row>
    <row r="1044" spans="1:20" x14ac:dyDescent="0.3">
      <c r="A1044" s="1">
        <f t="shared" si="1392"/>
        <v>18257</v>
      </c>
      <c r="B1044" s="2">
        <f t="shared" si="1462"/>
        <v>0</v>
      </c>
      <c r="C1044" s="2">
        <f t="shared" si="1463"/>
        <v>0</v>
      </c>
      <c r="D1044" s="2">
        <f t="shared" si="1464"/>
        <v>0</v>
      </c>
      <c r="E1044" s="30"/>
      <c r="F1044" s="30"/>
      <c r="J1044" s="1" t="str">
        <f t="shared" ref="J1044" si="1486">CONCATENATE(J1041,"3")</f>
        <v>13</v>
      </c>
      <c r="O1044" s="1">
        <v>0.99999991506563379</v>
      </c>
      <c r="P1044" s="1">
        <v>4.1029806261434487E-2</v>
      </c>
      <c r="S1044" s="1">
        <f t="shared" si="1438"/>
        <v>18</v>
      </c>
      <c r="T1044" s="1">
        <v>257</v>
      </c>
    </row>
    <row r="1045" spans="1:20" s="8" customFormat="1" x14ac:dyDescent="0.3"/>
    <row r="1046" spans="1:20" x14ac:dyDescent="0.3">
      <c r="A1046" s="1">
        <f t="shared" ref="A1046:A1102" si="1487">ROUND(CONCATENATE(S1046,T1046),0)</f>
        <v>19201</v>
      </c>
      <c r="B1046" s="57" t="s">
        <v>0</v>
      </c>
      <c r="C1046" s="57"/>
      <c r="D1046" s="56" t="s">
        <v>46</v>
      </c>
      <c r="E1046" s="56"/>
      <c r="F1046" s="56"/>
      <c r="G1046" s="56"/>
      <c r="H1046" s="56"/>
      <c r="L1046" s="1">
        <v>1</v>
      </c>
      <c r="M1046" s="1">
        <v>2</v>
      </c>
      <c r="N1046" s="1">
        <v>3</v>
      </c>
      <c r="O1046" s="1">
        <v>4</v>
      </c>
      <c r="P1046" s="1">
        <v>5</v>
      </c>
      <c r="Q1046" s="1">
        <v>6</v>
      </c>
      <c r="R1046" s="1">
        <v>7</v>
      </c>
      <c r="S1046" s="1">
        <f t="shared" ref="S1046" si="1488">S1044+1</f>
        <v>19</v>
      </c>
      <c r="T1046" s="1">
        <v>201</v>
      </c>
    </row>
    <row r="1047" spans="1:20" x14ac:dyDescent="0.3">
      <c r="A1047" s="1">
        <f t="shared" si="1487"/>
        <v>19202</v>
      </c>
      <c r="B1047" s="57"/>
      <c r="C1047" s="57"/>
      <c r="D1047" s="57"/>
      <c r="E1047" s="57"/>
      <c r="F1047" s="57"/>
      <c r="G1047" s="57"/>
      <c r="H1047" s="57"/>
      <c r="K1047" s="2" t="s">
        <v>1</v>
      </c>
      <c r="L1047" s="2"/>
      <c r="M1047" s="2" t="s">
        <v>2</v>
      </c>
      <c r="N1047" s="2" t="s">
        <v>3</v>
      </c>
      <c r="O1047" s="2" t="s">
        <v>4</v>
      </c>
      <c r="P1047" s="2" t="s">
        <v>5</v>
      </c>
      <c r="S1047" s="1">
        <f t="shared" ref="S1047" si="1489">S1046</f>
        <v>19</v>
      </c>
      <c r="T1047" s="1">
        <v>202</v>
      </c>
    </row>
    <row r="1048" spans="1:20" x14ac:dyDescent="0.3">
      <c r="A1048" s="1">
        <f t="shared" si="1487"/>
        <v>19203</v>
      </c>
      <c r="B1048" s="64" t="s">
        <v>6</v>
      </c>
      <c r="C1048" s="64"/>
      <c r="D1048" s="56" t="s">
        <v>130</v>
      </c>
      <c r="E1048" s="56"/>
      <c r="F1048" s="56"/>
      <c r="G1048" s="56"/>
      <c r="H1048" s="56"/>
      <c r="K1048" s="3">
        <f t="shared" ref="K1048" si="1490">IF(K1050&gt;=3,N1050,LOOKUP(15-($B1077+1),M1046:R1046,M1050:P1050))</f>
        <v>0.14897638138094718</v>
      </c>
      <c r="L1048" s="2" t="str">
        <f t="shared" ref="L1048" si="1491">CONCATENATE($B1077,"1")</f>
        <v>61</v>
      </c>
      <c r="M1048" s="2">
        <f t="shared" ref="M1048" si="1492">VLOOKUP(L1048,J1051:P1102,O1046,FALSE)</f>
        <v>-2.6687477098153539E-8</v>
      </c>
      <c r="N1048" s="2">
        <f t="shared" ref="N1048" si="1493">VLOOKUP(L1048,J1051:P1102,P1046,FALSE)</f>
        <v>5.6380710893028193E-5</v>
      </c>
      <c r="O1048" s="2">
        <f t="shared" ref="O1048" si="1494">VLOOKUP(L1048,J1051:P1102,Q1046,FALSE)</f>
        <v>0.96098837771476631</v>
      </c>
      <c r="P1048" s="2">
        <f t="shared" ref="P1048" si="1495">VLOOKUP(L1048,J1051:P1102,R1046,FALSE)</f>
        <v>10.191678592910119</v>
      </c>
      <c r="S1048" s="1">
        <f t="shared" si="1438"/>
        <v>19</v>
      </c>
      <c r="T1048" s="1">
        <v>203</v>
      </c>
    </row>
    <row r="1049" spans="1:20" x14ac:dyDescent="0.3">
      <c r="A1049" s="1">
        <f t="shared" si="1487"/>
        <v>19204</v>
      </c>
      <c r="B1049" s="57" t="s">
        <v>7</v>
      </c>
      <c r="C1049" s="57"/>
      <c r="D1049" s="56" t="s">
        <v>98</v>
      </c>
      <c r="E1049" s="56"/>
      <c r="F1049" s="56"/>
      <c r="G1049" s="56"/>
      <c r="H1049" s="56"/>
      <c r="K1049" s="2" t="s">
        <v>8</v>
      </c>
      <c r="L1049" s="2" t="str">
        <f t="shared" ref="L1049" si="1496">CONCATENATE($B1077,"2")</f>
        <v>62</v>
      </c>
      <c r="M1049" s="2">
        <f t="shared" ref="M1049" si="1497">VLOOKUP(L1049,J1051:P1102,O1046,FALSE)</f>
        <v>9.3055611535918058E-9</v>
      </c>
      <c r="N1049" s="2">
        <f t="shared" ref="N1049" si="1498">VLOOKUP(L1049,J1051:P1102,P1046,FALSE)</f>
        <v>2.2500088820014872E-5</v>
      </c>
      <c r="O1049" s="2">
        <f t="shared" ref="O1049" si="1499">VLOOKUP(L1049,J1051:P1102,Q1046,FALSE)</f>
        <v>1.7606777824985976E-2</v>
      </c>
      <c r="P1049" s="2">
        <f t="shared" ref="P1049" si="1500">VLOOKUP(L1049,J1051:P1102,R1046,FALSE)</f>
        <v>4.4341785802414568</v>
      </c>
      <c r="S1049" s="1">
        <f t="shared" si="1438"/>
        <v>19</v>
      </c>
      <c r="T1049" s="1">
        <v>204</v>
      </c>
    </row>
    <row r="1050" spans="1:20" x14ac:dyDescent="0.3">
      <c r="A1050" s="1">
        <f t="shared" si="1487"/>
        <v>19205</v>
      </c>
      <c r="B1050" s="57" t="s">
        <v>9</v>
      </c>
      <c r="C1050" s="57"/>
      <c r="D1050" s="56" t="s">
        <v>91</v>
      </c>
      <c r="E1050" s="56"/>
      <c r="F1050" s="56"/>
      <c r="G1050" s="56"/>
      <c r="H1050" s="56"/>
      <c r="K1050" s="3">
        <f t="shared" ref="K1050" si="1501">IF(B1077&gt;3,3,B1077)</f>
        <v>3</v>
      </c>
      <c r="L1050" s="2" t="str">
        <f t="shared" ref="L1050" si="1502">CONCATENATE($B1077,"3")</f>
        <v>63</v>
      </c>
      <c r="M1050" s="2">
        <f t="shared" ref="M1050" si="1503">VLOOKUP(L1050,J1051:P1102,O1046,FALSE)</f>
        <v>0.99999970272220196</v>
      </c>
      <c r="N1050" s="2">
        <f t="shared" ref="N1050" si="1504">VLOOKUP(L1050,J1051:P1102,P1046,FALSE)</f>
        <v>0.14897638138094718</v>
      </c>
      <c r="O1050" s="2" t="e">
        <f t="shared" ref="O1050" si="1505">VLOOKUP(L1050,J1051:P1102,Q1046,FALSE)</f>
        <v>#N/A</v>
      </c>
      <c r="P1050" s="2" t="e">
        <f t="shared" ref="P1050" si="1506">VLOOKUP(L1050,J1051:P1102,R1046,FALSE)</f>
        <v>#N/A</v>
      </c>
      <c r="S1050" s="1">
        <f t="shared" si="1438"/>
        <v>19</v>
      </c>
      <c r="T1050" s="1">
        <v>205</v>
      </c>
    </row>
    <row r="1051" spans="1:20" x14ac:dyDescent="0.3">
      <c r="A1051" s="1">
        <f t="shared" si="1487"/>
        <v>19206</v>
      </c>
      <c r="B1051" s="57" t="s">
        <v>10</v>
      </c>
      <c r="C1051" s="57"/>
      <c r="D1051" s="62" t="s">
        <v>131</v>
      </c>
      <c r="E1051" s="56"/>
      <c r="F1051" s="56"/>
      <c r="G1051" s="56"/>
      <c r="H1051" s="56"/>
      <c r="J1051" s="1">
        <v>13</v>
      </c>
      <c r="M1051" s="1" t="s">
        <v>2</v>
      </c>
      <c r="N1051" s="1" t="s">
        <v>3</v>
      </c>
      <c r="O1051" s="1" t="s">
        <v>4</v>
      </c>
      <c r="P1051" s="1" t="s">
        <v>5</v>
      </c>
      <c r="S1051" s="1">
        <f t="shared" si="1438"/>
        <v>19</v>
      </c>
      <c r="T1051" s="1">
        <v>206</v>
      </c>
    </row>
    <row r="1052" spans="1:20" x14ac:dyDescent="0.3">
      <c r="A1052" s="1">
        <f t="shared" si="1487"/>
        <v>19207</v>
      </c>
      <c r="B1052" s="57" t="s">
        <v>11</v>
      </c>
      <c r="C1052" s="57"/>
      <c r="D1052" s="63">
        <v>45701</v>
      </c>
      <c r="E1052" s="63"/>
      <c r="F1052" s="63"/>
      <c r="G1052" s="63"/>
      <c r="H1052" s="63"/>
      <c r="J1052" s="1" t="str">
        <f t="shared" ref="J1052" si="1507">CONCATENATE(J1051,"1")</f>
        <v>131</v>
      </c>
      <c r="M1052" s="1" t="e">
        <f t="array" ref="M1052:P1054">LINEST($B1062:$B1076,$C1062:$C1076^{1,2,3},TRUE,TRUE)</f>
        <v>#VALUE!</v>
      </c>
      <c r="N1052" s="1" t="e">
        <v>#VALUE!</v>
      </c>
      <c r="O1052" s="1" t="e">
        <v>#VALUE!</v>
      </c>
      <c r="P1052" s="1" t="e">
        <v>#VALUE!</v>
      </c>
      <c r="S1052" s="1">
        <f t="shared" si="1438"/>
        <v>19</v>
      </c>
      <c r="T1052" s="1">
        <v>207</v>
      </c>
    </row>
    <row r="1053" spans="1:20" x14ac:dyDescent="0.3">
      <c r="A1053" s="1">
        <f t="shared" si="1487"/>
        <v>19208</v>
      </c>
      <c r="B1053" s="57" t="s">
        <v>12</v>
      </c>
      <c r="C1053" s="57"/>
      <c r="D1053" s="58">
        <v>46446</v>
      </c>
      <c r="E1053" s="58"/>
      <c r="F1053" s="58"/>
      <c r="G1053" s="58"/>
      <c r="H1053" s="58"/>
      <c r="J1053" s="1" t="str">
        <f t="shared" ref="J1053" si="1508">CONCATENATE(J1051,"2")</f>
        <v>132</v>
      </c>
      <c r="M1053" s="1" t="e">
        <v>#VALUE!</v>
      </c>
      <c r="N1053" s="1" t="e">
        <v>#VALUE!</v>
      </c>
      <c r="O1053" s="1" t="e">
        <v>#VALUE!</v>
      </c>
      <c r="P1053" s="1" t="e">
        <v>#VALUE!</v>
      </c>
      <c r="S1053" s="1">
        <f t="shared" si="1438"/>
        <v>19</v>
      </c>
      <c r="T1053" s="1">
        <v>208</v>
      </c>
    </row>
    <row r="1054" spans="1:20" x14ac:dyDescent="0.3">
      <c r="A1054" s="1">
        <f t="shared" si="1487"/>
        <v>19209</v>
      </c>
      <c r="B1054" s="57" t="s">
        <v>13</v>
      </c>
      <c r="C1054" s="57"/>
      <c r="D1054" s="9">
        <v>0.1</v>
      </c>
      <c r="E1054" s="54" t="s">
        <v>14</v>
      </c>
      <c r="F1054" s="54"/>
      <c r="G1054" s="54"/>
      <c r="H1054" s="9" t="s">
        <v>59</v>
      </c>
      <c r="J1054" s="1" t="str">
        <f t="shared" ref="J1054" si="1509">CONCATENATE(J1051,"3")</f>
        <v>133</v>
      </c>
      <c r="M1054" s="1" t="e">
        <v>#VALUE!</v>
      </c>
      <c r="N1054" s="1" t="e">
        <v>#VALUE!</v>
      </c>
      <c r="O1054" s="1" t="e">
        <v>#VALUE!</v>
      </c>
      <c r="P1054" s="1" t="e">
        <v>#VALUE!</v>
      </c>
      <c r="S1054" s="1">
        <f t="shared" si="1438"/>
        <v>19</v>
      </c>
      <c r="T1054" s="1">
        <v>209</v>
      </c>
    </row>
    <row r="1055" spans="1:20" x14ac:dyDescent="0.3">
      <c r="A1055" s="1">
        <f t="shared" si="1487"/>
        <v>19210</v>
      </c>
      <c r="B1055" s="57" t="s">
        <v>15</v>
      </c>
      <c r="C1055" s="57"/>
      <c r="D1055" s="2">
        <f t="shared" ref="D1055" si="1510">MIN(B1062:B1076)</f>
        <v>501.4</v>
      </c>
      <c r="E1055" s="4" t="s">
        <v>16</v>
      </c>
      <c r="F1055" s="2">
        <f t="shared" ref="F1055" si="1511">MAX(B1062:B1076)</f>
        <v>1099.9000000000001</v>
      </c>
      <c r="G1055" s="5" t="str">
        <f t="shared" ref="G1055" si="1512">IF(H1054="","",H1054)</f>
        <v>hPa</v>
      </c>
      <c r="H1055" s="23"/>
      <c r="J1055" s="1">
        <f t="shared" ref="J1055" si="1513">J1051-1</f>
        <v>12</v>
      </c>
      <c r="M1055" s="1" t="s">
        <v>2</v>
      </c>
      <c r="N1055" s="1" t="s">
        <v>3</v>
      </c>
      <c r="O1055" s="1" t="s">
        <v>4</v>
      </c>
      <c r="P1055" s="1" t="s">
        <v>5</v>
      </c>
      <c r="S1055" s="1">
        <f t="shared" si="1438"/>
        <v>19</v>
      </c>
      <c r="T1055" s="1">
        <v>210</v>
      </c>
    </row>
    <row r="1056" spans="1:20" x14ac:dyDescent="0.3">
      <c r="A1056" s="1">
        <f t="shared" si="1487"/>
        <v>19211</v>
      </c>
      <c r="J1056" s="1" t="str">
        <f t="shared" ref="J1056" si="1514">CONCATENATE(J1055,"1")</f>
        <v>121</v>
      </c>
      <c r="M1056" s="1" t="e">
        <f t="array" ref="M1056:P1058">LINEST($B1062:$B1075,$C1062:$C1075^{1,2,3},TRUE,TRUE)</f>
        <v>#VALUE!</v>
      </c>
      <c r="N1056" s="1" t="e">
        <v>#VALUE!</v>
      </c>
      <c r="O1056" s="1" t="e">
        <v>#VALUE!</v>
      </c>
      <c r="P1056" s="1" t="e">
        <v>#VALUE!</v>
      </c>
      <c r="S1056" s="1">
        <f t="shared" si="1438"/>
        <v>19</v>
      </c>
      <c r="T1056" s="1">
        <v>211</v>
      </c>
    </row>
    <row r="1057" spans="1:20" x14ac:dyDescent="0.3">
      <c r="A1057" s="1">
        <f t="shared" si="1487"/>
        <v>19212</v>
      </c>
      <c r="B1057" s="59" t="s">
        <v>17</v>
      </c>
      <c r="C1057" s="59"/>
      <c r="D1057" s="59"/>
      <c r="E1057" s="59"/>
      <c r="F1057" s="59"/>
      <c r="G1057" s="60" t="s">
        <v>29</v>
      </c>
      <c r="H1057" s="61"/>
      <c r="J1057" s="1" t="str">
        <f t="shared" ref="J1057" si="1515">CONCATENATE(J1055,"2")</f>
        <v>122</v>
      </c>
      <c r="M1057" s="1" t="e">
        <v>#VALUE!</v>
      </c>
      <c r="N1057" s="1" t="e">
        <v>#VALUE!</v>
      </c>
      <c r="O1057" s="1" t="e">
        <v>#VALUE!</v>
      </c>
      <c r="P1057" s="1" t="e">
        <v>#VALUE!</v>
      </c>
      <c r="S1057" s="1">
        <f t="shared" si="1438"/>
        <v>19</v>
      </c>
      <c r="T1057" s="1">
        <v>212</v>
      </c>
    </row>
    <row r="1058" spans="1:20" x14ac:dyDescent="0.3">
      <c r="A1058" s="1">
        <f t="shared" si="1487"/>
        <v>19213</v>
      </c>
      <c r="B1058" s="54" t="s">
        <v>18</v>
      </c>
      <c r="C1058" s="54"/>
      <c r="D1058" s="54"/>
      <c r="E1058" s="54" t="str">
        <f t="shared" ref="E1058" si="1516">IF(D1051="","",D1051)</f>
        <v>E0040A/25</v>
      </c>
      <c r="F1058" s="54"/>
      <c r="G1058" s="5" t="s">
        <v>18</v>
      </c>
      <c r="H1058" s="20" t="s">
        <v>104</v>
      </c>
      <c r="J1058" s="1" t="str">
        <f t="shared" ref="J1058" si="1517">CONCATENATE(J1055,"3")</f>
        <v>123</v>
      </c>
      <c r="M1058" s="1" t="e">
        <v>#VALUE!</v>
      </c>
      <c r="N1058" s="1" t="e">
        <v>#VALUE!</v>
      </c>
      <c r="O1058" s="1" t="e">
        <v>#VALUE!</v>
      </c>
      <c r="P1058" s="1" t="e">
        <v>#VALUE!</v>
      </c>
      <c r="S1058" s="1">
        <f t="shared" si="1438"/>
        <v>19</v>
      </c>
      <c r="T1058" s="1">
        <v>213</v>
      </c>
    </row>
    <row r="1059" spans="1:20" ht="15" customHeight="1" x14ac:dyDescent="0.3">
      <c r="A1059" s="1">
        <f t="shared" si="1487"/>
        <v>19214</v>
      </c>
      <c r="B1059" s="6" t="s">
        <v>19</v>
      </c>
      <c r="C1059" s="6" t="s">
        <v>20</v>
      </c>
      <c r="D1059" s="6" t="s">
        <v>21</v>
      </c>
      <c r="E1059" s="6"/>
      <c r="F1059" s="55" t="s">
        <v>31</v>
      </c>
      <c r="G1059" s="6" t="s">
        <v>19</v>
      </c>
      <c r="H1059" s="6" t="s">
        <v>20</v>
      </c>
      <c r="J1059" s="1">
        <f t="shared" ref="J1059" si="1518">J1055-1</f>
        <v>11</v>
      </c>
      <c r="M1059" s="1" t="s">
        <v>2</v>
      </c>
      <c r="N1059" s="1" t="s">
        <v>3</v>
      </c>
      <c r="O1059" s="1" t="s">
        <v>4</v>
      </c>
      <c r="P1059" s="1" t="s">
        <v>5</v>
      </c>
      <c r="S1059" s="1">
        <f t="shared" si="1438"/>
        <v>19</v>
      </c>
      <c r="T1059" s="1">
        <v>214</v>
      </c>
    </row>
    <row r="1060" spans="1:20" x14ac:dyDescent="0.3">
      <c r="A1060" s="1">
        <f t="shared" si="1487"/>
        <v>19215</v>
      </c>
      <c r="B1060" s="6" t="s">
        <v>22</v>
      </c>
      <c r="C1060" s="6" t="s">
        <v>23</v>
      </c>
      <c r="D1060" s="6" t="s">
        <v>24</v>
      </c>
      <c r="E1060" s="6" t="s">
        <v>30</v>
      </c>
      <c r="F1060" s="55"/>
      <c r="G1060" s="6" t="s">
        <v>22</v>
      </c>
      <c r="H1060" s="6" t="s">
        <v>23</v>
      </c>
      <c r="J1060" s="1" t="str">
        <f t="shared" ref="J1060" si="1519">CONCATENATE(J1059,"1")</f>
        <v>111</v>
      </c>
      <c r="M1060" s="1" t="e">
        <f t="array" ref="M1060:P1062">LINEST($B1062:$B1074,$C1062:$C1074^{1,2,3},TRUE,TRUE)</f>
        <v>#VALUE!</v>
      </c>
      <c r="N1060" s="1" t="e">
        <v>#VALUE!</v>
      </c>
      <c r="O1060" s="1" t="e">
        <v>#VALUE!</v>
      </c>
      <c r="P1060" s="1" t="e">
        <v>#VALUE!</v>
      </c>
      <c r="S1060" s="1">
        <f t="shared" si="1438"/>
        <v>19</v>
      </c>
      <c r="T1060" s="1">
        <v>215</v>
      </c>
    </row>
    <row r="1061" spans="1:20" x14ac:dyDescent="0.3">
      <c r="A1061" s="1">
        <f t="shared" si="1487"/>
        <v>19216</v>
      </c>
      <c r="B1061" s="7" t="str">
        <f t="shared" ref="B1061" si="1520">IF(H1054="","",H1054)</f>
        <v>hPa</v>
      </c>
      <c r="C1061" s="7" t="str">
        <f t="shared" ref="C1061" si="1521">IF(H1054="","",H1054)</f>
        <v>hPa</v>
      </c>
      <c r="D1061" s="7" t="str">
        <f t="shared" ref="D1061" si="1522">IF(H1054="","",H1054)</f>
        <v>hPa</v>
      </c>
      <c r="E1061" s="7"/>
      <c r="F1061" s="7" t="str">
        <f t="shared" ref="F1061" si="1523">IF(I1054="","",I1054)</f>
        <v/>
      </c>
      <c r="G1061" s="7" t="str">
        <f t="shared" ref="G1061" si="1524">IF(H1054="","",H1054)</f>
        <v>hPa</v>
      </c>
      <c r="H1061" s="7" t="str">
        <f t="shared" ref="H1061" si="1525">IF(H1054="","",H1054)</f>
        <v>hPa</v>
      </c>
      <c r="J1061" s="1" t="str">
        <f t="shared" ref="J1061" si="1526">CONCATENATE(J1059,"2")</f>
        <v>112</v>
      </c>
      <c r="M1061" s="1" t="e">
        <v>#VALUE!</v>
      </c>
      <c r="N1061" s="1" t="e">
        <v>#VALUE!</v>
      </c>
      <c r="O1061" s="1" t="e">
        <v>#VALUE!</v>
      </c>
      <c r="P1061" s="1" t="e">
        <v>#VALUE!</v>
      </c>
      <c r="S1061" s="1">
        <f t="shared" si="1438"/>
        <v>19</v>
      </c>
      <c r="T1061" s="1">
        <v>216</v>
      </c>
    </row>
    <row r="1062" spans="1:20" x14ac:dyDescent="0.3">
      <c r="A1062" s="1">
        <f t="shared" si="1487"/>
        <v>19217</v>
      </c>
      <c r="B1062" s="24">
        <v>501.4</v>
      </c>
      <c r="C1062" s="24">
        <v>500</v>
      </c>
      <c r="D1062" s="24">
        <v>0.3</v>
      </c>
      <c r="E1062" s="24">
        <v>2</v>
      </c>
      <c r="F1062" s="24">
        <v>1000000</v>
      </c>
      <c r="G1062" s="25">
        <v>400</v>
      </c>
      <c r="H1062" s="25">
        <v>399.4</v>
      </c>
      <c r="J1062" s="1" t="str">
        <f t="shared" ref="J1062" si="1527">CONCATENATE(J1059,"3")</f>
        <v>113</v>
      </c>
      <c r="M1062" s="1" t="e">
        <v>#VALUE!</v>
      </c>
      <c r="N1062" s="1" t="e">
        <v>#VALUE!</v>
      </c>
      <c r="O1062" s="1" t="e">
        <v>#VALUE!</v>
      </c>
      <c r="P1062" s="1" t="e">
        <v>#VALUE!</v>
      </c>
      <c r="S1062" s="1">
        <f t="shared" si="1438"/>
        <v>19</v>
      </c>
      <c r="T1062" s="1">
        <v>217</v>
      </c>
    </row>
    <row r="1063" spans="1:20" x14ac:dyDescent="0.3">
      <c r="A1063" s="1">
        <f t="shared" si="1487"/>
        <v>19218</v>
      </c>
      <c r="B1063" s="24">
        <v>601.4</v>
      </c>
      <c r="C1063" s="24">
        <v>600</v>
      </c>
      <c r="D1063" s="24">
        <v>0.3</v>
      </c>
      <c r="E1063" s="24">
        <v>2</v>
      </c>
      <c r="F1063" s="24">
        <v>1000000</v>
      </c>
      <c r="G1063" s="25">
        <v>500</v>
      </c>
      <c r="H1063" s="25">
        <v>499.5</v>
      </c>
      <c r="J1063" s="1">
        <f t="shared" ref="J1063" si="1528">J1059-1</f>
        <v>10</v>
      </c>
      <c r="M1063" s="1" t="s">
        <v>2</v>
      </c>
      <c r="N1063" s="1" t="s">
        <v>3</v>
      </c>
      <c r="O1063" s="1" t="s">
        <v>4</v>
      </c>
      <c r="P1063" s="1" t="s">
        <v>5</v>
      </c>
      <c r="S1063" s="1">
        <f t="shared" si="1438"/>
        <v>19</v>
      </c>
      <c r="T1063" s="1">
        <v>218</v>
      </c>
    </row>
    <row r="1064" spans="1:20" x14ac:dyDescent="0.3">
      <c r="A1064" s="1">
        <f t="shared" si="1487"/>
        <v>19219</v>
      </c>
      <c r="B1064" s="24">
        <v>701.4</v>
      </c>
      <c r="C1064" s="24">
        <v>700</v>
      </c>
      <c r="D1064" s="24">
        <v>0.3</v>
      </c>
      <c r="E1064" s="24">
        <v>2</v>
      </c>
      <c r="F1064" s="24">
        <v>1000000</v>
      </c>
      <c r="G1064" s="25">
        <v>600</v>
      </c>
      <c r="H1064" s="25">
        <v>599.4</v>
      </c>
      <c r="J1064" s="1" t="str">
        <f t="shared" ref="J1064" si="1529">CONCATENATE(J1063,"1")</f>
        <v>101</v>
      </c>
      <c r="M1064" s="1" t="e">
        <f t="array" ref="M1064:P1066">LINEST($B1062:$B1073,$C1062:$C1073^{1,2,3},TRUE,TRUE)</f>
        <v>#VALUE!</v>
      </c>
      <c r="N1064" s="1" t="e">
        <v>#VALUE!</v>
      </c>
      <c r="O1064" s="1" t="e">
        <v>#VALUE!</v>
      </c>
      <c r="P1064" s="1" t="e">
        <v>#VALUE!</v>
      </c>
      <c r="S1064" s="1">
        <f t="shared" si="1438"/>
        <v>19</v>
      </c>
      <c r="T1064" s="1">
        <v>219</v>
      </c>
    </row>
    <row r="1065" spans="1:20" x14ac:dyDescent="0.3">
      <c r="A1065" s="1">
        <f t="shared" si="1487"/>
        <v>19220</v>
      </c>
      <c r="B1065" s="24">
        <v>801.3</v>
      </c>
      <c r="C1065" s="24">
        <v>800</v>
      </c>
      <c r="D1065" s="24">
        <v>0.3</v>
      </c>
      <c r="E1065" s="24">
        <v>2</v>
      </c>
      <c r="F1065" s="24">
        <v>1000000</v>
      </c>
      <c r="G1065" s="25">
        <v>700</v>
      </c>
      <c r="H1065" s="25">
        <v>699.3</v>
      </c>
      <c r="J1065" s="1" t="str">
        <f t="shared" ref="J1065" si="1530">CONCATENATE(J1063,"2")</f>
        <v>102</v>
      </c>
      <c r="M1065" s="1" t="e">
        <v>#VALUE!</v>
      </c>
      <c r="N1065" s="1" t="e">
        <v>#VALUE!</v>
      </c>
      <c r="O1065" s="1" t="e">
        <v>#VALUE!</v>
      </c>
      <c r="P1065" s="1" t="e">
        <v>#VALUE!</v>
      </c>
      <c r="S1065" s="1">
        <f t="shared" si="1438"/>
        <v>19</v>
      </c>
      <c r="T1065" s="1">
        <v>220</v>
      </c>
    </row>
    <row r="1066" spans="1:20" x14ac:dyDescent="0.3">
      <c r="A1066" s="1">
        <f t="shared" si="1487"/>
        <v>19221</v>
      </c>
      <c r="B1066" s="24">
        <v>901.2</v>
      </c>
      <c r="C1066" s="24">
        <v>900</v>
      </c>
      <c r="D1066" s="24">
        <v>0.3</v>
      </c>
      <c r="E1066" s="24">
        <v>2</v>
      </c>
      <c r="F1066" s="24">
        <v>1000000</v>
      </c>
      <c r="G1066" s="25">
        <v>800</v>
      </c>
      <c r="H1066" s="25">
        <v>799.3</v>
      </c>
      <c r="J1066" s="1" t="str">
        <f t="shared" ref="J1066" si="1531">CONCATENATE(J1063,"3")</f>
        <v>103</v>
      </c>
      <c r="M1066" s="1" t="e">
        <v>#VALUE!</v>
      </c>
      <c r="N1066" s="1" t="e">
        <v>#VALUE!</v>
      </c>
      <c r="O1066" s="1" t="e">
        <v>#VALUE!</v>
      </c>
      <c r="P1066" s="1" t="e">
        <v>#VALUE!</v>
      </c>
      <c r="S1066" s="1">
        <f t="shared" si="1438"/>
        <v>19</v>
      </c>
      <c r="T1066" s="1">
        <v>221</v>
      </c>
    </row>
    <row r="1067" spans="1:20" x14ac:dyDescent="0.3">
      <c r="A1067" s="1">
        <f t="shared" si="1487"/>
        <v>19222</v>
      </c>
      <c r="B1067" s="24">
        <v>951.1</v>
      </c>
      <c r="C1067" s="24">
        <v>950</v>
      </c>
      <c r="D1067" s="24">
        <v>0.3</v>
      </c>
      <c r="E1067" s="24">
        <v>2</v>
      </c>
      <c r="F1067" s="24">
        <v>1000000</v>
      </c>
      <c r="G1067" s="25">
        <v>900</v>
      </c>
      <c r="H1067" s="25">
        <v>899.4</v>
      </c>
      <c r="J1067" s="1">
        <f t="shared" ref="J1067" si="1532">J1063-1</f>
        <v>9</v>
      </c>
      <c r="M1067" s="1" t="s">
        <v>2</v>
      </c>
      <c r="N1067" s="1" t="s">
        <v>3</v>
      </c>
      <c r="O1067" s="1" t="s">
        <v>4</v>
      </c>
      <c r="P1067" s="1" t="s">
        <v>5</v>
      </c>
      <c r="S1067" s="1">
        <f t="shared" si="1438"/>
        <v>19</v>
      </c>
      <c r="T1067" s="1">
        <v>222</v>
      </c>
    </row>
    <row r="1068" spans="1:20" x14ac:dyDescent="0.3">
      <c r="A1068" s="1">
        <f t="shared" si="1487"/>
        <v>19223</v>
      </c>
      <c r="B1068" s="24">
        <v>1001.1</v>
      </c>
      <c r="C1068" s="24">
        <v>1000</v>
      </c>
      <c r="D1068" s="24">
        <v>0.3</v>
      </c>
      <c r="E1068" s="24">
        <v>2</v>
      </c>
      <c r="F1068" s="24">
        <v>1000000</v>
      </c>
      <c r="G1068" s="25">
        <v>1000</v>
      </c>
      <c r="H1068" s="25">
        <v>999.4</v>
      </c>
      <c r="J1068" s="1" t="str">
        <f t="shared" ref="J1068" si="1533">CONCATENATE(J1067,"1")</f>
        <v>91</v>
      </c>
      <c r="M1068" s="1" t="e">
        <f t="array" ref="M1068:P1070">LINEST($B1062:$B1072,$C1062:$C1072^{1,2,3},TRUE,TRUE)</f>
        <v>#VALUE!</v>
      </c>
      <c r="N1068" s="1" t="e">
        <v>#VALUE!</v>
      </c>
      <c r="O1068" s="1" t="e">
        <v>#VALUE!</v>
      </c>
      <c r="P1068" s="1" t="e">
        <v>#VALUE!</v>
      </c>
      <c r="S1068" s="1">
        <f t="shared" si="1438"/>
        <v>19</v>
      </c>
      <c r="T1068" s="1">
        <v>223</v>
      </c>
    </row>
    <row r="1069" spans="1:20" x14ac:dyDescent="0.3">
      <c r="A1069" s="1">
        <f t="shared" si="1487"/>
        <v>19224</v>
      </c>
      <c r="B1069" s="24">
        <v>1099.9000000000001</v>
      </c>
      <c r="C1069" s="24">
        <v>1100</v>
      </c>
      <c r="D1069" s="24">
        <v>0.3</v>
      </c>
      <c r="E1069" s="24">
        <v>2</v>
      </c>
      <c r="F1069" s="24">
        <v>1000000</v>
      </c>
      <c r="G1069" s="25">
        <v>1200</v>
      </c>
      <c r="H1069" s="25">
        <v>1199.3</v>
      </c>
      <c r="J1069" s="1" t="str">
        <f t="shared" ref="J1069" si="1534">CONCATENATE(J1067,"2")</f>
        <v>92</v>
      </c>
      <c r="M1069" s="1" t="e">
        <v>#VALUE!</v>
      </c>
      <c r="N1069" s="1" t="e">
        <v>#VALUE!</v>
      </c>
      <c r="O1069" s="1" t="e">
        <v>#VALUE!</v>
      </c>
      <c r="P1069" s="1" t="e">
        <v>#VALUE!</v>
      </c>
      <c r="S1069" s="1">
        <f t="shared" si="1438"/>
        <v>19</v>
      </c>
      <c r="T1069" s="1">
        <v>224</v>
      </c>
    </row>
    <row r="1070" spans="1:20" x14ac:dyDescent="0.3">
      <c r="A1070" s="1">
        <f t="shared" si="1487"/>
        <v>19225</v>
      </c>
      <c r="B1070" s="24"/>
      <c r="C1070" s="24"/>
      <c r="D1070" s="24"/>
      <c r="E1070" s="24"/>
      <c r="F1070" s="24"/>
      <c r="G1070" s="25"/>
      <c r="H1070" s="25"/>
      <c r="J1070" s="1" t="str">
        <f t="shared" ref="J1070" si="1535">CONCATENATE(J1067,"3")</f>
        <v>93</v>
      </c>
      <c r="M1070" s="1" t="e">
        <v>#VALUE!</v>
      </c>
      <c r="N1070" s="1" t="e">
        <v>#VALUE!</v>
      </c>
      <c r="O1070" s="1" t="e">
        <v>#VALUE!</v>
      </c>
      <c r="P1070" s="1" t="e">
        <v>#VALUE!</v>
      </c>
      <c r="S1070" s="1">
        <f t="shared" si="1438"/>
        <v>19</v>
      </c>
      <c r="T1070" s="1">
        <v>225</v>
      </c>
    </row>
    <row r="1071" spans="1:20" x14ac:dyDescent="0.3">
      <c r="A1071" s="1">
        <f t="shared" si="1487"/>
        <v>19226</v>
      </c>
      <c r="B1071" s="24"/>
      <c r="C1071" s="24"/>
      <c r="D1071" s="24"/>
      <c r="E1071" s="24"/>
      <c r="F1071" s="24"/>
      <c r="G1071" s="25"/>
      <c r="H1071" s="25"/>
      <c r="J1071" s="1">
        <f t="shared" ref="J1071" si="1536">J1067-1</f>
        <v>8</v>
      </c>
      <c r="M1071" s="1" t="s">
        <v>2</v>
      </c>
      <c r="N1071" s="1" t="s">
        <v>3</v>
      </c>
      <c r="O1071" s="1" t="s">
        <v>4</v>
      </c>
      <c r="P1071" s="1" t="s">
        <v>5</v>
      </c>
      <c r="S1071" s="1">
        <f t="shared" si="1438"/>
        <v>19</v>
      </c>
      <c r="T1071" s="1">
        <v>226</v>
      </c>
    </row>
    <row r="1072" spans="1:20" x14ac:dyDescent="0.3">
      <c r="A1072" s="1">
        <f t="shared" si="1487"/>
        <v>19227</v>
      </c>
      <c r="B1072" s="24"/>
      <c r="C1072" s="24"/>
      <c r="D1072" s="24"/>
      <c r="E1072" s="24"/>
      <c r="F1072" s="24"/>
      <c r="G1072" s="25"/>
      <c r="H1072" s="25"/>
      <c r="J1072" s="1" t="str">
        <f t="shared" ref="J1072" si="1537">CONCATENATE(J1071,"1")</f>
        <v>81</v>
      </c>
      <c r="M1072" s="1" t="e">
        <f t="array" ref="M1072:P1074">LINEST($B1062:$B1071,$C1062:$C1071^{1,2,3},TRUE,TRUE)</f>
        <v>#VALUE!</v>
      </c>
      <c r="N1072" s="1" t="e">
        <v>#VALUE!</v>
      </c>
      <c r="O1072" s="1" t="e">
        <v>#VALUE!</v>
      </c>
      <c r="P1072" s="1" t="e">
        <v>#VALUE!</v>
      </c>
      <c r="S1072" s="1">
        <f t="shared" si="1438"/>
        <v>19</v>
      </c>
      <c r="T1072" s="1">
        <v>227</v>
      </c>
    </row>
    <row r="1073" spans="1:20" x14ac:dyDescent="0.3">
      <c r="A1073" s="1">
        <f t="shared" si="1487"/>
        <v>19228</v>
      </c>
      <c r="B1073" s="24"/>
      <c r="C1073" s="24"/>
      <c r="D1073" s="24"/>
      <c r="E1073" s="24"/>
      <c r="F1073" s="24"/>
      <c r="G1073" s="25"/>
      <c r="H1073" s="25"/>
      <c r="J1073" s="1" t="str">
        <f t="shared" ref="J1073" si="1538">CONCATENATE(J1071,"2")</f>
        <v>82</v>
      </c>
      <c r="M1073" s="1" t="e">
        <v>#VALUE!</v>
      </c>
      <c r="N1073" s="1" t="e">
        <v>#VALUE!</v>
      </c>
      <c r="O1073" s="1" t="e">
        <v>#VALUE!</v>
      </c>
      <c r="P1073" s="1" t="e">
        <v>#VALUE!</v>
      </c>
      <c r="S1073" s="1">
        <f t="shared" ref="S1073:S1136" si="1539">S1072</f>
        <v>19</v>
      </c>
      <c r="T1073" s="1">
        <v>228</v>
      </c>
    </row>
    <row r="1074" spans="1:20" x14ac:dyDescent="0.3">
      <c r="A1074" s="1">
        <f t="shared" si="1487"/>
        <v>19229</v>
      </c>
      <c r="B1074" s="24"/>
      <c r="C1074" s="24"/>
      <c r="D1074" s="24"/>
      <c r="E1074" s="24"/>
      <c r="F1074" s="24"/>
      <c r="G1074" s="25"/>
      <c r="H1074" s="25"/>
      <c r="J1074" s="1" t="str">
        <f t="shared" ref="J1074" si="1540">CONCATENATE(J1071,"3")</f>
        <v>83</v>
      </c>
      <c r="M1074" s="1" t="e">
        <v>#VALUE!</v>
      </c>
      <c r="N1074" s="1" t="e">
        <v>#VALUE!</v>
      </c>
      <c r="O1074" s="1" t="e">
        <v>#VALUE!</v>
      </c>
      <c r="P1074" s="1" t="e">
        <v>#VALUE!</v>
      </c>
      <c r="S1074" s="1">
        <f t="shared" si="1539"/>
        <v>19</v>
      </c>
      <c r="T1074" s="1">
        <v>229</v>
      </c>
    </row>
    <row r="1075" spans="1:20" x14ac:dyDescent="0.3">
      <c r="A1075" s="1">
        <f t="shared" si="1487"/>
        <v>19230</v>
      </c>
      <c r="B1075" s="24"/>
      <c r="C1075" s="24"/>
      <c r="D1075" s="24"/>
      <c r="E1075" s="24"/>
      <c r="F1075" s="24"/>
      <c r="G1075" s="25"/>
      <c r="H1075" s="25"/>
      <c r="J1075" s="1">
        <f t="shared" ref="J1075" si="1541">J1071-1</f>
        <v>7</v>
      </c>
      <c r="M1075" s="1" t="s">
        <v>2</v>
      </c>
      <c r="N1075" s="1" t="s">
        <v>3</v>
      </c>
      <c r="O1075" s="1" t="s">
        <v>4</v>
      </c>
      <c r="P1075" s="1" t="s">
        <v>5</v>
      </c>
      <c r="S1075" s="1">
        <f t="shared" si="1539"/>
        <v>19</v>
      </c>
      <c r="T1075" s="1">
        <v>230</v>
      </c>
    </row>
    <row r="1076" spans="1:20" x14ac:dyDescent="0.3">
      <c r="A1076" s="1">
        <f t="shared" si="1487"/>
        <v>19231</v>
      </c>
      <c r="B1076" s="24"/>
      <c r="C1076" s="24"/>
      <c r="D1076" s="24"/>
      <c r="E1076" s="24"/>
      <c r="F1076" s="24"/>
      <c r="G1076" s="25"/>
      <c r="H1076" s="25"/>
      <c r="J1076" s="1" t="str">
        <f t="shared" ref="J1076" si="1542">CONCATENATE(J1075,"1")</f>
        <v>71</v>
      </c>
      <c r="M1076" s="1" t="e">
        <f t="array" ref="M1076:P1078">LINEST($B1062:$B1070,$C1062:$C1070^{1,2,3},TRUE,TRUE)</f>
        <v>#VALUE!</v>
      </c>
      <c r="N1076" s="1" t="e">
        <v>#VALUE!</v>
      </c>
      <c r="O1076" s="1" t="e">
        <v>#VALUE!</v>
      </c>
      <c r="P1076" s="1" t="e">
        <v>#VALUE!</v>
      </c>
      <c r="S1076" s="1">
        <f t="shared" si="1539"/>
        <v>19</v>
      </c>
      <c r="T1076" s="1">
        <v>231</v>
      </c>
    </row>
    <row r="1077" spans="1:20" x14ac:dyDescent="0.3">
      <c r="A1077" s="1">
        <f t="shared" si="1487"/>
        <v>19232</v>
      </c>
      <c r="B1077" s="2">
        <f t="shared" ref="B1077" si="1543">COUNT(B1062:B1076)-2</f>
        <v>6</v>
      </c>
      <c r="J1077" s="1" t="str">
        <f t="shared" ref="J1077" si="1544">CONCATENATE(J1075,"2")</f>
        <v>72</v>
      </c>
      <c r="M1077" s="1" t="e">
        <v>#VALUE!</v>
      </c>
      <c r="N1077" s="1" t="e">
        <v>#VALUE!</v>
      </c>
      <c r="O1077" s="1" t="e">
        <v>#VALUE!</v>
      </c>
      <c r="P1077" s="1" t="e">
        <v>#VALUE!</v>
      </c>
      <c r="S1077" s="1">
        <f t="shared" si="1539"/>
        <v>19</v>
      </c>
      <c r="T1077" s="1">
        <v>232</v>
      </c>
    </row>
    <row r="1078" spans="1:20" x14ac:dyDescent="0.3">
      <c r="A1078" s="1">
        <f t="shared" si="1487"/>
        <v>19233</v>
      </c>
      <c r="J1078" s="1" t="str">
        <f t="shared" ref="J1078" si="1545">CONCATENATE(J1075,"3")</f>
        <v>73</v>
      </c>
      <c r="M1078" s="1" t="e">
        <v>#VALUE!</v>
      </c>
      <c r="N1078" s="1" t="e">
        <v>#VALUE!</v>
      </c>
      <c r="O1078" s="1" t="e">
        <v>#VALUE!</v>
      </c>
      <c r="P1078" s="1" t="e">
        <v>#VALUE!</v>
      </c>
      <c r="S1078" s="1">
        <f t="shared" si="1539"/>
        <v>19</v>
      </c>
      <c r="T1078" s="1">
        <v>233</v>
      </c>
    </row>
    <row r="1079" spans="1:20" x14ac:dyDescent="0.3">
      <c r="A1079" s="1">
        <f t="shared" si="1487"/>
        <v>19234</v>
      </c>
      <c r="B1079" s="54" t="s">
        <v>25</v>
      </c>
      <c r="C1079" s="54"/>
      <c r="D1079" s="54"/>
      <c r="E1079" s="54"/>
      <c r="F1079" s="54"/>
      <c r="G1079" s="54"/>
      <c r="H1079" s="54"/>
      <c r="J1079" s="1">
        <f t="shared" ref="J1079" si="1546">J1075-1</f>
        <v>6</v>
      </c>
      <c r="M1079" s="1" t="s">
        <v>2</v>
      </c>
      <c r="N1079" s="1" t="s">
        <v>3</v>
      </c>
      <c r="O1079" s="1" t="s">
        <v>4</v>
      </c>
      <c r="P1079" s="1" t="s">
        <v>5</v>
      </c>
      <c r="S1079" s="1">
        <f t="shared" si="1539"/>
        <v>19</v>
      </c>
      <c r="T1079" s="1">
        <v>234</v>
      </c>
    </row>
    <row r="1080" spans="1:20" x14ac:dyDescent="0.3">
      <c r="A1080" s="1">
        <f t="shared" si="1487"/>
        <v>19235</v>
      </c>
      <c r="B1080" s="56"/>
      <c r="C1080" s="56"/>
      <c r="D1080" s="56"/>
      <c r="E1080" s="56"/>
      <c r="F1080" s="56"/>
      <c r="G1080" s="56"/>
      <c r="H1080" s="56"/>
      <c r="J1080" s="1" t="str">
        <f t="shared" ref="J1080" si="1547">CONCATENATE(J1079,"1")</f>
        <v>61</v>
      </c>
      <c r="M1080" s="1">
        <f t="array" ref="M1080:P1082">LINEST($B1062:$B1069,$C1062:$C1069^{1,2,3},TRUE,TRUE)</f>
        <v>-2.6687477098153539E-8</v>
      </c>
      <c r="N1080" s="1">
        <v>5.6380710893028193E-5</v>
      </c>
      <c r="O1080" s="1">
        <v>0.96098837771476631</v>
      </c>
      <c r="P1080" s="1">
        <v>10.191678592910119</v>
      </c>
      <c r="S1080" s="1">
        <f t="shared" si="1539"/>
        <v>19</v>
      </c>
      <c r="T1080" s="1">
        <v>235</v>
      </c>
    </row>
    <row r="1081" spans="1:20" x14ac:dyDescent="0.3">
      <c r="A1081" s="1">
        <f t="shared" si="1487"/>
        <v>19236</v>
      </c>
      <c r="B1081" s="56"/>
      <c r="C1081" s="56"/>
      <c r="D1081" s="56"/>
      <c r="E1081" s="56"/>
      <c r="F1081" s="56"/>
      <c r="G1081" s="56"/>
      <c r="H1081" s="56"/>
      <c r="J1081" s="1" t="str">
        <f t="shared" ref="J1081" si="1548">CONCATENATE(J1079,"2")</f>
        <v>62</v>
      </c>
      <c r="M1081" s="1">
        <v>9.3055611535918058E-9</v>
      </c>
      <c r="N1081" s="1">
        <v>2.2500088820014872E-5</v>
      </c>
      <c r="O1081" s="1">
        <v>1.7606777824985976E-2</v>
      </c>
      <c r="P1081" s="1">
        <v>4.4341785802414568</v>
      </c>
      <c r="S1081" s="1">
        <f t="shared" si="1539"/>
        <v>19</v>
      </c>
      <c r="T1081" s="1">
        <v>236</v>
      </c>
    </row>
    <row r="1082" spans="1:20" x14ac:dyDescent="0.3">
      <c r="A1082" s="1">
        <f t="shared" si="1487"/>
        <v>19237</v>
      </c>
      <c r="J1082" s="1" t="str">
        <f t="shared" ref="J1082" si="1549">CONCATENATE(J1079,"3")</f>
        <v>63</v>
      </c>
      <c r="M1082" s="1">
        <v>0.99999970272220196</v>
      </c>
      <c r="N1082" s="1">
        <v>0.14897638138094718</v>
      </c>
      <c r="O1082" s="1" t="e">
        <v>#N/A</v>
      </c>
      <c r="P1082" s="1" t="e">
        <v>#N/A</v>
      </c>
      <c r="S1082" s="1">
        <f t="shared" si="1539"/>
        <v>19</v>
      </c>
      <c r="T1082" s="1">
        <v>237</v>
      </c>
    </row>
    <row r="1083" spans="1:20" ht="15" customHeight="1" x14ac:dyDescent="0.3">
      <c r="A1083" s="1">
        <f t="shared" si="1487"/>
        <v>19238</v>
      </c>
      <c r="J1083" s="1">
        <f t="shared" ref="J1083" si="1550">J1079-1</f>
        <v>5</v>
      </c>
      <c r="M1083" s="1" t="s">
        <v>2</v>
      </c>
      <c r="N1083" s="1" t="s">
        <v>3</v>
      </c>
      <c r="O1083" s="1" t="s">
        <v>4</v>
      </c>
      <c r="P1083" s="1" t="s">
        <v>5</v>
      </c>
      <c r="S1083" s="1">
        <f t="shared" si="1539"/>
        <v>19</v>
      </c>
      <c r="T1083" s="1">
        <v>238</v>
      </c>
    </row>
    <row r="1084" spans="1:20" x14ac:dyDescent="0.3">
      <c r="A1084" s="1">
        <f t="shared" si="1487"/>
        <v>19239</v>
      </c>
      <c r="J1084" s="1" t="str">
        <f t="shared" ref="J1084" si="1551">CONCATENATE(J1083,"1")</f>
        <v>51</v>
      </c>
      <c r="M1084" s="1">
        <f t="array" ref="M1084:P1086">LINEST($B1062:$B1068,$C1062:$C1068^{1,2,3},TRUE,TRUE)</f>
        <v>3.8844180805096845E-9</v>
      </c>
      <c r="N1084" s="1">
        <v>-1.0446173014377151E-5</v>
      </c>
      <c r="O1084" s="1">
        <v>1.0082505434600253</v>
      </c>
      <c r="P1084" s="1">
        <v>-0.60660033541292835</v>
      </c>
      <c r="S1084" s="1">
        <f t="shared" si="1539"/>
        <v>19</v>
      </c>
      <c r="T1084" s="1">
        <v>239</v>
      </c>
    </row>
    <row r="1085" spans="1:20" x14ac:dyDescent="0.3">
      <c r="A1085" s="1">
        <f t="shared" si="1487"/>
        <v>19240</v>
      </c>
      <c r="E1085" s="26"/>
      <c r="F1085" s="26"/>
      <c r="G1085" s="26"/>
      <c r="H1085" s="26"/>
      <c r="J1085" s="1" t="str">
        <f t="shared" ref="J1085" si="1552">CONCATENATE(J1083,"2")</f>
        <v>52</v>
      </c>
      <c r="M1085" s="1">
        <v>3.4734183258685033E-9</v>
      </c>
      <c r="N1085" s="1">
        <v>7.8140965063061593E-6</v>
      </c>
      <c r="O1085" s="1">
        <v>5.7128353425663957E-3</v>
      </c>
      <c r="P1085" s="1">
        <v>1.3535455095851128</v>
      </c>
      <c r="S1085" s="1">
        <f t="shared" si="1539"/>
        <v>19</v>
      </c>
      <c r="T1085" s="1">
        <v>240</v>
      </c>
    </row>
    <row r="1086" spans="1:20" x14ac:dyDescent="0.3">
      <c r="A1086" s="1">
        <f t="shared" si="1487"/>
        <v>19241</v>
      </c>
      <c r="B1086" s="54" t="s">
        <v>90</v>
      </c>
      <c r="C1086" s="54"/>
      <c r="D1086" s="54"/>
      <c r="E1086" s="27">
        <f t="shared" ref="E1086" si="1553">IF(D1048="","",MAX(E1087,E1088))</f>
        <v>0.89999999999997726</v>
      </c>
      <c r="F1086" s="26"/>
      <c r="G1086" s="26"/>
      <c r="H1086" s="26"/>
      <c r="J1086" s="1" t="str">
        <f t="shared" ref="J1086" si="1554">CONCATENATE(J1083,"3")</f>
        <v>53</v>
      </c>
      <c r="M1086" s="1">
        <v>0.99999998824269642</v>
      </c>
      <c r="N1086" s="1">
        <v>2.8619598128256235E-2</v>
      </c>
      <c r="O1086" s="1" t="e">
        <v>#N/A</v>
      </c>
      <c r="P1086" s="1" t="e">
        <v>#N/A</v>
      </c>
      <c r="S1086" s="1">
        <f t="shared" si="1539"/>
        <v>19</v>
      </c>
      <c r="T1086" s="1">
        <v>241</v>
      </c>
    </row>
    <row r="1087" spans="1:20" x14ac:dyDescent="0.3">
      <c r="A1087" s="1">
        <f t="shared" si="1487"/>
        <v>19242</v>
      </c>
      <c r="B1087" s="2" t="s">
        <v>26</v>
      </c>
      <c r="C1087" s="2" t="s">
        <v>27</v>
      </c>
      <c r="D1087" s="2" t="s">
        <v>28</v>
      </c>
      <c r="E1087" s="28">
        <f t="shared" ref="E1087" si="1555">ABS(MIN(D1088:D1102))</f>
        <v>0.79999999999995453</v>
      </c>
      <c r="F1087" s="26"/>
      <c r="H1087" s="26"/>
      <c r="J1087" s="1">
        <f t="shared" ref="J1087" si="1556">J1083-1</f>
        <v>4</v>
      </c>
      <c r="M1087" s="1" t="s">
        <v>2</v>
      </c>
      <c r="N1087" s="1" t="s">
        <v>3</v>
      </c>
      <c r="O1087" s="1" t="s">
        <v>4</v>
      </c>
      <c r="P1087" s="1" t="s">
        <v>5</v>
      </c>
      <c r="S1087" s="1">
        <f t="shared" si="1539"/>
        <v>19</v>
      </c>
      <c r="T1087" s="1">
        <v>242</v>
      </c>
    </row>
    <row r="1088" spans="1:20" x14ac:dyDescent="0.3">
      <c r="A1088" s="1">
        <f t="shared" si="1487"/>
        <v>19243</v>
      </c>
      <c r="B1088" s="2">
        <f t="shared" ref="B1088:B1102" si="1557">C1062-B1062</f>
        <v>-1.3999999999999773</v>
      </c>
      <c r="C1088" s="2">
        <f t="shared" ref="C1088:C1102" si="1558">H1062-G1062</f>
        <v>-0.60000000000002274</v>
      </c>
      <c r="D1088" s="2">
        <f t="shared" ref="D1088:D1102" si="1559">C1088-B1088</f>
        <v>0.79999999999995453</v>
      </c>
      <c r="E1088" s="28">
        <f t="shared" ref="E1088" si="1560">ABS(MAX(D1088:D1102))</f>
        <v>0.89999999999997726</v>
      </c>
      <c r="F1088" s="26"/>
      <c r="H1088" s="26"/>
      <c r="J1088" s="1" t="str">
        <f t="shared" ref="J1088" si="1561">CONCATENATE(J1087,"1")</f>
        <v>41</v>
      </c>
      <c r="M1088" s="1">
        <f t="array" ref="M1088:P1090">LINEST($B1062:$B1067,$C1062:$C1067^{1,2,3},TRUE,TRUE)</f>
        <v>-1.7829281478480861E-9</v>
      </c>
      <c r="N1088" s="1">
        <v>1.491903293289146E-6</v>
      </c>
      <c r="O1088" s="1">
        <v>1.0000838508446959</v>
      </c>
      <c r="P1088" s="1">
        <v>1.2061403877319219</v>
      </c>
      <c r="S1088" s="1">
        <f t="shared" si="1539"/>
        <v>19</v>
      </c>
      <c r="T1088" s="1">
        <v>243</v>
      </c>
    </row>
    <row r="1089" spans="1:20" x14ac:dyDescent="0.3">
      <c r="A1089" s="1">
        <f t="shared" si="1487"/>
        <v>19244</v>
      </c>
      <c r="B1089" s="2">
        <f t="shared" si="1557"/>
        <v>-1.3999999999999773</v>
      </c>
      <c r="C1089" s="2">
        <f t="shared" si="1558"/>
        <v>-0.5</v>
      </c>
      <c r="D1089" s="2">
        <f t="shared" si="1559"/>
        <v>0.89999999999997726</v>
      </c>
      <c r="E1089" s="29" t="s">
        <v>32</v>
      </c>
      <c r="F1089" s="26"/>
      <c r="H1089" s="26"/>
      <c r="J1089" s="1" t="str">
        <f t="shared" ref="J1089" si="1562">CONCATENATE(J1087,"2")</f>
        <v>42</v>
      </c>
      <c r="M1089" s="1">
        <v>3.2729610885167915E-9</v>
      </c>
      <c r="N1089" s="1">
        <v>7.1101510630971591E-6</v>
      </c>
      <c r="O1089" s="1">
        <v>5.0287998695266959E-3</v>
      </c>
      <c r="P1089" s="1">
        <v>1.1558271713220405</v>
      </c>
      <c r="S1089" s="1">
        <f t="shared" si="1539"/>
        <v>19</v>
      </c>
      <c r="T1089" s="1">
        <v>244</v>
      </c>
    </row>
    <row r="1090" spans="1:20" x14ac:dyDescent="0.3">
      <c r="A1090" s="1">
        <f t="shared" si="1487"/>
        <v>19245</v>
      </c>
      <c r="B1090" s="2">
        <f t="shared" si="1557"/>
        <v>-1.3999999999999773</v>
      </c>
      <c r="C1090" s="2">
        <f t="shared" si="1558"/>
        <v>-0.60000000000002274</v>
      </c>
      <c r="D1090" s="2">
        <f t="shared" si="1559"/>
        <v>0.79999999999995453</v>
      </c>
      <c r="E1090" s="27">
        <f t="shared" ref="E1090" si="1563">IF(D1048="","",MAX(E1091,E1092))</f>
        <v>1.3999999999999773</v>
      </c>
      <c r="F1090" s="26"/>
      <c r="H1090" s="26"/>
      <c r="J1090" s="1" t="str">
        <f t="shared" ref="J1090" si="1564">CONCATENATE(J1087,"3")</f>
        <v>43</v>
      </c>
      <c r="M1090" s="1">
        <v>0.99999999567001707</v>
      </c>
      <c r="N1090" s="1">
        <v>1.8133568117123817E-2</v>
      </c>
      <c r="O1090" s="1" t="e">
        <v>#N/A</v>
      </c>
      <c r="P1090" s="1" t="e">
        <v>#N/A</v>
      </c>
      <c r="S1090" s="1">
        <f t="shared" si="1539"/>
        <v>19</v>
      </c>
      <c r="T1090" s="1">
        <v>245</v>
      </c>
    </row>
    <row r="1091" spans="1:20" x14ac:dyDescent="0.3">
      <c r="A1091" s="1">
        <f t="shared" si="1487"/>
        <v>19246</v>
      </c>
      <c r="B1091" s="2">
        <f t="shared" si="1557"/>
        <v>-1.2999999999999545</v>
      </c>
      <c r="C1091" s="2">
        <f t="shared" si="1558"/>
        <v>-0.70000000000004547</v>
      </c>
      <c r="D1091" s="2">
        <f t="shared" si="1559"/>
        <v>0.59999999999990905</v>
      </c>
      <c r="E1091" s="28">
        <f t="shared" ref="E1091" si="1565">ABS(MIN(B1088:B1102))</f>
        <v>1.3999999999999773</v>
      </c>
      <c r="F1091" s="26"/>
      <c r="H1091" s="26"/>
      <c r="J1091" s="1">
        <f t="shared" ref="J1091" si="1566">J1087-1</f>
        <v>3</v>
      </c>
      <c r="M1091" s="1" t="s">
        <v>2</v>
      </c>
      <c r="N1091" s="1" t="s">
        <v>3</v>
      </c>
      <c r="O1091" s="1" t="s">
        <v>4</v>
      </c>
      <c r="P1091" s="1" t="s">
        <v>5</v>
      </c>
      <c r="S1091" s="1">
        <f t="shared" si="1539"/>
        <v>19</v>
      </c>
      <c r="T1091" s="1">
        <v>246</v>
      </c>
    </row>
    <row r="1092" spans="1:20" x14ac:dyDescent="0.3">
      <c r="A1092" s="1">
        <f t="shared" si="1487"/>
        <v>19247</v>
      </c>
      <c r="B1092" s="2">
        <f t="shared" si="1557"/>
        <v>-1.2000000000000455</v>
      </c>
      <c r="C1092" s="2">
        <f t="shared" si="1558"/>
        <v>-0.70000000000004547</v>
      </c>
      <c r="D1092" s="2">
        <f t="shared" si="1559"/>
        <v>0.5</v>
      </c>
      <c r="E1092" s="28">
        <f t="shared" ref="E1092" si="1567">ABS(MAX(B1088:B1102))</f>
        <v>9.9999999999909051E-2</v>
      </c>
      <c r="F1092" s="26"/>
      <c r="H1092" s="26"/>
      <c r="J1092" s="1" t="str">
        <f t="shared" ref="J1092" si="1568">CONCATENATE(J1091,"1")</f>
        <v>31</v>
      </c>
      <c r="M1092" s="1">
        <f t="array" ref="M1092:P1094">LINEST($B1062:$B1066,$C1062:$C1066^{1,2,3},TRUE,TRUE)</f>
        <v>-3.8912166602194007E-21</v>
      </c>
      <c r="N1092" s="1">
        <v>-2.1428571428466294E-6</v>
      </c>
      <c r="O1092" s="1">
        <v>1.0024999999999917</v>
      </c>
      <c r="P1092" s="1">
        <v>0.68285714285899535</v>
      </c>
      <c r="S1092" s="1">
        <f t="shared" si="1539"/>
        <v>19</v>
      </c>
      <c r="T1092" s="1">
        <v>247</v>
      </c>
    </row>
    <row r="1093" spans="1:20" x14ac:dyDescent="0.3">
      <c r="A1093" s="1">
        <f t="shared" si="1487"/>
        <v>19248</v>
      </c>
      <c r="B1093" s="2">
        <f t="shared" si="1557"/>
        <v>-1.1000000000000227</v>
      </c>
      <c r="C1093" s="2">
        <f t="shared" si="1558"/>
        <v>-0.60000000000002274</v>
      </c>
      <c r="D1093" s="2">
        <f t="shared" si="1559"/>
        <v>0.5</v>
      </c>
      <c r="E1093" s="29" t="s">
        <v>33</v>
      </c>
      <c r="F1093" s="26"/>
      <c r="J1093" s="1" t="str">
        <f t="shared" ref="J1093" si="1569">CONCATENATE(J1091,"2")</f>
        <v>32</v>
      </c>
      <c r="M1093" s="1">
        <v>6.2994078834976674E-9</v>
      </c>
      <c r="N1093" s="1">
        <v>1.3244174691761396E-5</v>
      </c>
      <c r="O1093" s="1">
        <v>9.0903751647111401E-3</v>
      </c>
      <c r="P1093" s="1">
        <v>2.0337840472956432</v>
      </c>
      <c r="S1093" s="1">
        <f t="shared" si="1539"/>
        <v>19</v>
      </c>
      <c r="T1093" s="1">
        <v>248</v>
      </c>
    </row>
    <row r="1094" spans="1:20" x14ac:dyDescent="0.3">
      <c r="A1094" s="1">
        <f t="shared" si="1487"/>
        <v>19249</v>
      </c>
      <c r="B1094" s="2">
        <f t="shared" si="1557"/>
        <v>-1.1000000000000227</v>
      </c>
      <c r="C1094" s="2">
        <f t="shared" si="1558"/>
        <v>-0.60000000000002274</v>
      </c>
      <c r="D1094" s="2">
        <f t="shared" si="1559"/>
        <v>0.5</v>
      </c>
      <c r="E1094" s="27">
        <f t="shared" ref="E1094" si="1570">IF(D1048="","",MAX(E1095,E1096))</f>
        <v>0.3</v>
      </c>
      <c r="F1094" s="26"/>
      <c r="J1094" s="1" t="str">
        <f t="shared" ref="J1094" si="1571">CONCATENATE(J1091,"3")</f>
        <v>33</v>
      </c>
      <c r="M1094" s="1">
        <v>0.9999999942799962</v>
      </c>
      <c r="N1094" s="1">
        <v>2.390457218672859E-2</v>
      </c>
      <c r="O1094" s="1" t="e">
        <v>#N/A</v>
      </c>
      <c r="P1094" s="1" t="e">
        <v>#N/A</v>
      </c>
      <c r="S1094" s="1">
        <f t="shared" si="1539"/>
        <v>19</v>
      </c>
      <c r="T1094" s="1">
        <v>249</v>
      </c>
    </row>
    <row r="1095" spans="1:20" x14ac:dyDescent="0.3">
      <c r="A1095" s="1">
        <f t="shared" si="1487"/>
        <v>19250</v>
      </c>
      <c r="B1095" s="2">
        <f t="shared" si="1557"/>
        <v>9.9999999999909051E-2</v>
      </c>
      <c r="C1095" s="2">
        <f t="shared" si="1558"/>
        <v>-0.70000000000004547</v>
      </c>
      <c r="D1095" s="2">
        <f t="shared" si="1559"/>
        <v>-0.79999999999995453</v>
      </c>
      <c r="E1095" s="28">
        <f t="shared" ref="E1095" si="1572">ABS(MIN(D1062:D1076))</f>
        <v>0.3</v>
      </c>
      <c r="F1095" s="26"/>
      <c r="J1095" s="1">
        <f t="shared" ref="J1095" si="1573">J1091-1</f>
        <v>2</v>
      </c>
      <c r="N1095" s="1" t="s">
        <v>3</v>
      </c>
      <c r="O1095" s="1" t="s">
        <v>4</v>
      </c>
      <c r="P1095" s="1" t="s">
        <v>5</v>
      </c>
      <c r="S1095" s="1">
        <f t="shared" si="1539"/>
        <v>19</v>
      </c>
      <c r="T1095" s="1">
        <v>250</v>
      </c>
    </row>
    <row r="1096" spans="1:20" x14ac:dyDescent="0.3">
      <c r="A1096" s="1">
        <f t="shared" si="1487"/>
        <v>19251</v>
      </c>
      <c r="B1096" s="2">
        <f t="shared" si="1557"/>
        <v>0</v>
      </c>
      <c r="C1096" s="2">
        <f t="shared" si="1558"/>
        <v>0</v>
      </c>
      <c r="D1096" s="2">
        <f t="shared" si="1559"/>
        <v>0</v>
      </c>
      <c r="E1096" s="28">
        <f t="shared" ref="E1096" si="1574">ABS(MAX(D1062:D1076))</f>
        <v>0.3</v>
      </c>
      <c r="F1096" s="26"/>
      <c r="J1096" s="1" t="str">
        <f t="shared" ref="J1096" si="1575">CONCATENATE(J1095,"1")</f>
        <v>21</v>
      </c>
      <c r="N1096" s="1">
        <f t="array" ref="N1096:P1098">LINEST($B1062:$B1065,$C1062:$C1065^{1,2},TRUE,TRUE)</f>
        <v>-2.5000000000013936E-6</v>
      </c>
      <c r="O1096" s="1">
        <v>1.0029500000000018</v>
      </c>
      <c r="P1096" s="1">
        <v>0.54499999999945126</v>
      </c>
      <c r="S1096" s="1">
        <f t="shared" si="1539"/>
        <v>19</v>
      </c>
      <c r="T1096" s="1">
        <v>251</v>
      </c>
    </row>
    <row r="1097" spans="1:20" x14ac:dyDescent="0.3">
      <c r="A1097" s="1">
        <f t="shared" si="1487"/>
        <v>19252</v>
      </c>
      <c r="B1097" s="2">
        <f t="shared" si="1557"/>
        <v>0</v>
      </c>
      <c r="C1097" s="2">
        <f t="shared" si="1558"/>
        <v>0</v>
      </c>
      <c r="D1097" s="2">
        <f t="shared" si="1559"/>
        <v>0</v>
      </c>
      <c r="E1097" s="26"/>
      <c r="F1097" s="26"/>
      <c r="J1097" s="1" t="str">
        <f t="shared" ref="J1097" si="1576">CONCATENATE(J1095,"2")</f>
        <v>22</v>
      </c>
      <c r="N1097" s="1">
        <v>1.118033988749412E-6</v>
      </c>
      <c r="O1097" s="1">
        <v>1.4568802284327174E-3</v>
      </c>
      <c r="P1097" s="1">
        <v>0.4631144566949027</v>
      </c>
      <c r="S1097" s="1">
        <f t="shared" si="1539"/>
        <v>19</v>
      </c>
      <c r="T1097" s="1">
        <v>252</v>
      </c>
    </row>
    <row r="1098" spans="1:20" x14ac:dyDescent="0.3">
      <c r="A1098" s="1">
        <f t="shared" si="1487"/>
        <v>19253</v>
      </c>
      <c r="B1098" s="2">
        <f t="shared" si="1557"/>
        <v>0</v>
      </c>
      <c r="C1098" s="2">
        <f t="shared" si="1558"/>
        <v>0</v>
      </c>
      <c r="D1098" s="2">
        <f t="shared" si="1559"/>
        <v>0</v>
      </c>
      <c r="E1098" s="26"/>
      <c r="F1098" s="26"/>
      <c r="J1098" s="1" t="str">
        <f t="shared" ref="J1098" si="1577">CONCATENATE(J1095,"3")</f>
        <v>23</v>
      </c>
      <c r="N1098" s="1">
        <v>0.99999998999399786</v>
      </c>
      <c r="O1098" s="1">
        <v>2.2360679774988235E-2</v>
      </c>
      <c r="P1098" s="1" t="e">
        <v>#N/A</v>
      </c>
      <c r="S1098" s="1">
        <f t="shared" si="1539"/>
        <v>19</v>
      </c>
      <c r="T1098" s="1">
        <v>253</v>
      </c>
    </row>
    <row r="1099" spans="1:20" x14ac:dyDescent="0.3">
      <c r="A1099" s="1">
        <f t="shared" si="1487"/>
        <v>19254</v>
      </c>
      <c r="B1099" s="2">
        <f t="shared" si="1557"/>
        <v>0</v>
      </c>
      <c r="C1099" s="2">
        <f t="shared" si="1558"/>
        <v>0</v>
      </c>
      <c r="D1099" s="2">
        <f t="shared" si="1559"/>
        <v>0</v>
      </c>
      <c r="E1099" s="26"/>
      <c r="F1099" s="26"/>
      <c r="J1099" s="1">
        <f t="shared" ref="J1099" si="1578">J1095-1</f>
        <v>1</v>
      </c>
      <c r="O1099" s="1" t="s">
        <v>4</v>
      </c>
      <c r="P1099" s="1" t="s">
        <v>5</v>
      </c>
      <c r="S1099" s="1">
        <f t="shared" si="1539"/>
        <v>19</v>
      </c>
      <c r="T1099" s="1">
        <v>254</v>
      </c>
    </row>
    <row r="1100" spans="1:20" x14ac:dyDescent="0.3">
      <c r="A1100" s="1">
        <f t="shared" si="1487"/>
        <v>19255</v>
      </c>
      <c r="B1100" s="2">
        <f t="shared" si="1557"/>
        <v>0</v>
      </c>
      <c r="C1100" s="2">
        <f t="shared" si="1558"/>
        <v>0</v>
      </c>
      <c r="D1100" s="2">
        <f t="shared" si="1559"/>
        <v>0</v>
      </c>
      <c r="E1100" s="26"/>
      <c r="F1100" s="26"/>
      <c r="J1100" s="1" t="str">
        <f t="shared" ref="J1100" si="1579">CONCATENATE(J1099,"1")</f>
        <v>11</v>
      </c>
      <c r="O1100" s="1">
        <f t="array" ref="O1100:P1102">LINEST($B1062:$B1064,$C1062:$C1064^{1},TRUE,TRUE)</f>
        <v>0.99999999999999978</v>
      </c>
      <c r="P1100" s="1">
        <v>1.4000000000000909</v>
      </c>
      <c r="S1100" s="1">
        <f t="shared" si="1539"/>
        <v>19</v>
      </c>
      <c r="T1100" s="1">
        <v>255</v>
      </c>
    </row>
    <row r="1101" spans="1:20" x14ac:dyDescent="0.3">
      <c r="A1101" s="1">
        <f t="shared" si="1487"/>
        <v>19256</v>
      </c>
      <c r="B1101" s="2">
        <f t="shared" si="1557"/>
        <v>0</v>
      </c>
      <c r="C1101" s="2">
        <f t="shared" si="1558"/>
        <v>0</v>
      </c>
      <c r="D1101" s="2">
        <f t="shared" si="1559"/>
        <v>0</v>
      </c>
      <c r="E1101" s="26"/>
      <c r="F1101" s="26"/>
      <c r="J1101" s="1" t="str">
        <f t="shared" ref="J1101" si="1580">CONCATENATE(J1099,"2")</f>
        <v>12</v>
      </c>
      <c r="O1101" s="1">
        <v>2.0097183471152324E-16</v>
      </c>
      <c r="P1101" s="1">
        <v>1.2169448930559318E-13</v>
      </c>
      <c r="S1101" s="1">
        <f t="shared" si="1539"/>
        <v>19</v>
      </c>
      <c r="T1101" s="1">
        <v>256</v>
      </c>
    </row>
    <row r="1102" spans="1:20" x14ac:dyDescent="0.3">
      <c r="A1102" s="1">
        <f t="shared" si="1487"/>
        <v>19257</v>
      </c>
      <c r="B1102" s="2">
        <f t="shared" si="1557"/>
        <v>0</v>
      </c>
      <c r="C1102" s="2">
        <f t="shared" si="1558"/>
        <v>0</v>
      </c>
      <c r="D1102" s="2">
        <f t="shared" si="1559"/>
        <v>0</v>
      </c>
      <c r="E1102" s="30"/>
      <c r="F1102" s="30"/>
      <c r="J1102" s="1" t="str">
        <f t="shared" ref="J1102" si="1581">CONCATENATE(J1099,"3")</f>
        <v>13</v>
      </c>
      <c r="O1102" s="1">
        <v>1</v>
      </c>
      <c r="P1102" s="1">
        <v>2.8421709430404007E-14</v>
      </c>
      <c r="S1102" s="1">
        <f t="shared" si="1539"/>
        <v>19</v>
      </c>
      <c r="T1102" s="1">
        <v>257</v>
      </c>
    </row>
    <row r="1103" spans="1:20" s="8" customFormat="1" x14ac:dyDescent="0.3"/>
    <row r="1104" spans="1:20" x14ac:dyDescent="0.3">
      <c r="A1104" s="1">
        <f t="shared" ref="A1104:A1160" si="1582">ROUND(CONCATENATE(S1104,T1104),0)</f>
        <v>20201</v>
      </c>
      <c r="B1104" s="57" t="s">
        <v>0</v>
      </c>
      <c r="C1104" s="57"/>
      <c r="D1104" s="56" t="s">
        <v>46</v>
      </c>
      <c r="E1104" s="56"/>
      <c r="F1104" s="56"/>
      <c r="G1104" s="56"/>
      <c r="H1104" s="56"/>
      <c r="L1104" s="1">
        <v>1</v>
      </c>
      <c r="M1104" s="1">
        <v>2</v>
      </c>
      <c r="N1104" s="1">
        <v>3</v>
      </c>
      <c r="O1104" s="1">
        <v>4</v>
      </c>
      <c r="P1104" s="1">
        <v>5</v>
      </c>
      <c r="Q1104" s="1">
        <v>6</v>
      </c>
      <c r="R1104" s="1">
        <v>7</v>
      </c>
      <c r="S1104" s="1">
        <f t="shared" ref="S1104" si="1583">S1102+1</f>
        <v>20</v>
      </c>
      <c r="T1104" s="1">
        <v>201</v>
      </c>
    </row>
    <row r="1105" spans="1:20" x14ac:dyDescent="0.3">
      <c r="A1105" s="1">
        <f t="shared" si="1582"/>
        <v>20202</v>
      </c>
      <c r="B1105" s="57"/>
      <c r="C1105" s="57"/>
      <c r="D1105" s="57"/>
      <c r="E1105" s="57"/>
      <c r="F1105" s="57"/>
      <c r="G1105" s="57"/>
      <c r="H1105" s="57"/>
      <c r="K1105" s="2" t="s">
        <v>1</v>
      </c>
      <c r="L1105" s="2"/>
      <c r="M1105" s="2" t="s">
        <v>2</v>
      </c>
      <c r="N1105" s="2" t="s">
        <v>3</v>
      </c>
      <c r="O1105" s="2" t="s">
        <v>4</v>
      </c>
      <c r="P1105" s="2" t="s">
        <v>5</v>
      </c>
      <c r="S1105" s="1">
        <f t="shared" ref="S1105" si="1584">S1104</f>
        <v>20</v>
      </c>
      <c r="T1105" s="1">
        <v>202</v>
      </c>
    </row>
    <row r="1106" spans="1:20" x14ac:dyDescent="0.3">
      <c r="A1106" s="1">
        <f t="shared" si="1582"/>
        <v>20203</v>
      </c>
      <c r="B1106" s="64" t="s">
        <v>6</v>
      </c>
      <c r="C1106" s="64"/>
      <c r="D1106" s="56" t="s">
        <v>132</v>
      </c>
      <c r="E1106" s="56"/>
      <c r="F1106" s="56"/>
      <c r="G1106" s="56"/>
      <c r="H1106" s="56"/>
      <c r="K1106" s="3">
        <f t="shared" ref="K1106" si="1585">IF(K1108&gt;=3,N1108,LOOKUP(15-($B1135+1),M1104:R1104,M1108:P1108))</f>
        <v>0</v>
      </c>
      <c r="L1106" s="2" t="str">
        <f t="shared" ref="L1106" si="1586">CONCATENATE($B1135,"1")</f>
        <v>41</v>
      </c>
      <c r="M1106" s="2">
        <f t="shared" ref="M1106" si="1587">VLOOKUP(L1106,J1109:P1160,O1104,FALSE)</f>
        <v>0</v>
      </c>
      <c r="N1106" s="2">
        <f t="shared" ref="N1106" si="1588">VLOOKUP(L1106,J1109:P1160,P1104,FALSE)</f>
        <v>0</v>
      </c>
      <c r="O1106" s="2">
        <f t="shared" ref="O1106" si="1589">VLOOKUP(L1106,J1109:P1160,Q1104,FALSE)</f>
        <v>1</v>
      </c>
      <c r="P1106" s="2">
        <f t="shared" ref="P1106" si="1590">VLOOKUP(L1106,J1109:P1160,R1104,FALSE)</f>
        <v>1</v>
      </c>
      <c r="S1106" s="1">
        <f t="shared" si="1539"/>
        <v>20</v>
      </c>
      <c r="T1106" s="1">
        <v>203</v>
      </c>
    </row>
    <row r="1107" spans="1:20" x14ac:dyDescent="0.3">
      <c r="A1107" s="1">
        <f t="shared" si="1582"/>
        <v>20204</v>
      </c>
      <c r="B1107" s="57" t="s">
        <v>7</v>
      </c>
      <c r="C1107" s="57"/>
      <c r="D1107" s="56" t="s">
        <v>98</v>
      </c>
      <c r="E1107" s="56"/>
      <c r="F1107" s="56"/>
      <c r="G1107" s="56"/>
      <c r="H1107" s="56"/>
      <c r="K1107" s="2" t="s">
        <v>8</v>
      </c>
      <c r="L1107" s="2" t="str">
        <f t="shared" ref="L1107" si="1591">CONCATENATE($B1135,"2")</f>
        <v>42</v>
      </c>
      <c r="M1107" s="2">
        <f t="shared" ref="M1107" si="1592">VLOOKUP(L1107,J1109:P1160,O1104,FALSE)</f>
        <v>0</v>
      </c>
      <c r="N1107" s="2">
        <f t="shared" ref="N1107" si="1593">VLOOKUP(L1107,J1109:P1160,P1104,FALSE)</f>
        <v>0</v>
      </c>
      <c r="O1107" s="2">
        <f t="shared" ref="O1107" si="1594">VLOOKUP(L1107,J1109:P1160,Q1104,FALSE)</f>
        <v>0</v>
      </c>
      <c r="P1107" s="2">
        <f t="shared" ref="P1107" si="1595">VLOOKUP(L1107,J1109:P1160,R1104,FALSE)</f>
        <v>0</v>
      </c>
      <c r="S1107" s="1">
        <f t="shared" si="1539"/>
        <v>20</v>
      </c>
      <c r="T1107" s="1">
        <v>204</v>
      </c>
    </row>
    <row r="1108" spans="1:20" x14ac:dyDescent="0.3">
      <c r="A1108" s="1">
        <f t="shared" si="1582"/>
        <v>20205</v>
      </c>
      <c r="B1108" s="57" t="s">
        <v>9</v>
      </c>
      <c r="C1108" s="57"/>
      <c r="D1108" s="56" t="s">
        <v>91</v>
      </c>
      <c r="E1108" s="56"/>
      <c r="F1108" s="56"/>
      <c r="G1108" s="56"/>
      <c r="H1108" s="56"/>
      <c r="K1108" s="3">
        <f t="shared" ref="K1108" si="1596">IF(B1135&gt;3,3,B1135)</f>
        <v>3</v>
      </c>
      <c r="L1108" s="2" t="str">
        <f t="shared" ref="L1108" si="1597">CONCATENATE($B1135,"3")</f>
        <v>43</v>
      </c>
      <c r="M1108" s="2">
        <f t="shared" ref="M1108" si="1598">VLOOKUP(L1108,J1109:P1160,O1104,FALSE)</f>
        <v>1</v>
      </c>
      <c r="N1108" s="2">
        <f t="shared" ref="N1108" si="1599">VLOOKUP(L1108,J1109:P1160,P1104,FALSE)</f>
        <v>0</v>
      </c>
      <c r="O1108" s="2" t="e">
        <f t="shared" ref="O1108" si="1600">VLOOKUP(L1108,J1109:P1160,Q1104,FALSE)</f>
        <v>#N/A</v>
      </c>
      <c r="P1108" s="2" t="e">
        <f t="shared" ref="P1108" si="1601">VLOOKUP(L1108,J1109:P1160,R1104,FALSE)</f>
        <v>#N/A</v>
      </c>
      <c r="S1108" s="1">
        <f t="shared" si="1539"/>
        <v>20</v>
      </c>
      <c r="T1108" s="1">
        <v>205</v>
      </c>
    </row>
    <row r="1109" spans="1:20" x14ac:dyDescent="0.3">
      <c r="A1109" s="1">
        <f t="shared" si="1582"/>
        <v>20206</v>
      </c>
      <c r="B1109" s="57" t="s">
        <v>10</v>
      </c>
      <c r="C1109" s="57"/>
      <c r="D1109" s="62" t="s">
        <v>133</v>
      </c>
      <c r="E1109" s="56"/>
      <c r="F1109" s="56"/>
      <c r="G1109" s="56"/>
      <c r="H1109" s="56"/>
      <c r="J1109" s="1">
        <v>13</v>
      </c>
      <c r="M1109" s="1" t="s">
        <v>2</v>
      </c>
      <c r="N1109" s="1" t="s">
        <v>3</v>
      </c>
      <c r="O1109" s="1" t="s">
        <v>4</v>
      </c>
      <c r="P1109" s="1" t="s">
        <v>5</v>
      </c>
      <c r="S1109" s="1">
        <f t="shared" si="1539"/>
        <v>20</v>
      </c>
      <c r="T1109" s="1">
        <v>206</v>
      </c>
    </row>
    <row r="1110" spans="1:20" x14ac:dyDescent="0.3">
      <c r="A1110" s="1">
        <f t="shared" si="1582"/>
        <v>20207</v>
      </c>
      <c r="B1110" s="57" t="s">
        <v>11</v>
      </c>
      <c r="C1110" s="57"/>
      <c r="D1110" s="63">
        <v>45632</v>
      </c>
      <c r="E1110" s="63"/>
      <c r="F1110" s="63"/>
      <c r="G1110" s="63"/>
      <c r="H1110" s="63"/>
      <c r="J1110" s="1" t="str">
        <f t="shared" ref="J1110" si="1602">CONCATENATE(J1109,"1")</f>
        <v>131</v>
      </c>
      <c r="M1110" s="1" t="e">
        <f t="array" ref="M1110:P1112">LINEST($B1120:$B1134,$C1120:$C1134^{1,2,3},TRUE,TRUE)</f>
        <v>#VALUE!</v>
      </c>
      <c r="N1110" s="1" t="e">
        <v>#VALUE!</v>
      </c>
      <c r="O1110" s="1" t="e">
        <v>#VALUE!</v>
      </c>
      <c r="P1110" s="1" t="e">
        <v>#VALUE!</v>
      </c>
      <c r="S1110" s="1">
        <f t="shared" si="1539"/>
        <v>20</v>
      </c>
      <c r="T1110" s="1">
        <v>207</v>
      </c>
    </row>
    <row r="1111" spans="1:20" x14ac:dyDescent="0.3">
      <c r="A1111" s="1">
        <f t="shared" si="1582"/>
        <v>20208</v>
      </c>
      <c r="B1111" s="57" t="s">
        <v>12</v>
      </c>
      <c r="C1111" s="57"/>
      <c r="D1111" s="58">
        <v>46386</v>
      </c>
      <c r="E1111" s="58"/>
      <c r="F1111" s="58"/>
      <c r="G1111" s="58"/>
      <c r="H1111" s="58"/>
      <c r="J1111" s="1" t="str">
        <f t="shared" ref="J1111" si="1603">CONCATENATE(J1109,"2")</f>
        <v>132</v>
      </c>
      <c r="M1111" s="1" t="e">
        <v>#VALUE!</v>
      </c>
      <c r="N1111" s="1" t="e">
        <v>#VALUE!</v>
      </c>
      <c r="O1111" s="1" t="e">
        <v>#VALUE!</v>
      </c>
      <c r="P1111" s="1" t="e">
        <v>#VALUE!</v>
      </c>
      <c r="S1111" s="1">
        <f t="shared" si="1539"/>
        <v>20</v>
      </c>
      <c r="T1111" s="1">
        <v>208</v>
      </c>
    </row>
    <row r="1112" spans="1:20" x14ac:dyDescent="0.3">
      <c r="A1112" s="1">
        <f t="shared" si="1582"/>
        <v>20209</v>
      </c>
      <c r="B1112" s="57" t="s">
        <v>13</v>
      </c>
      <c r="C1112" s="57"/>
      <c r="D1112" s="9">
        <v>1</v>
      </c>
      <c r="E1112" s="54" t="s">
        <v>14</v>
      </c>
      <c r="F1112" s="54"/>
      <c r="G1112" s="54"/>
      <c r="H1112" s="9" t="s">
        <v>59</v>
      </c>
      <c r="J1112" s="1" t="str">
        <f t="shared" ref="J1112" si="1604">CONCATENATE(J1109,"3")</f>
        <v>133</v>
      </c>
      <c r="M1112" s="1" t="e">
        <v>#VALUE!</v>
      </c>
      <c r="N1112" s="1" t="e">
        <v>#VALUE!</v>
      </c>
      <c r="O1112" s="1" t="e">
        <v>#VALUE!</v>
      </c>
      <c r="P1112" s="1" t="e">
        <v>#VALUE!</v>
      </c>
      <c r="S1112" s="1">
        <f t="shared" si="1539"/>
        <v>20</v>
      </c>
      <c r="T1112" s="1">
        <v>209</v>
      </c>
    </row>
    <row r="1113" spans="1:20" x14ac:dyDescent="0.3">
      <c r="A1113" s="1">
        <f t="shared" si="1582"/>
        <v>20210</v>
      </c>
      <c r="B1113" s="57" t="s">
        <v>15</v>
      </c>
      <c r="C1113" s="57"/>
      <c r="D1113" s="2">
        <f t="shared" ref="D1113" si="1605">MIN(B1120:B1134)</f>
        <v>600</v>
      </c>
      <c r="E1113" s="4" t="s">
        <v>16</v>
      </c>
      <c r="F1113" s="2">
        <f t="shared" ref="F1113" si="1606">MAX(B1120:B1134)</f>
        <v>1100</v>
      </c>
      <c r="G1113" s="5" t="str">
        <f t="shared" ref="G1113" si="1607">IF(H1112="","",H1112)</f>
        <v>hPa</v>
      </c>
      <c r="H1113" s="23"/>
      <c r="J1113" s="1">
        <f t="shared" ref="J1113" si="1608">J1109-1</f>
        <v>12</v>
      </c>
      <c r="M1113" s="1" t="s">
        <v>2</v>
      </c>
      <c r="N1113" s="1" t="s">
        <v>3</v>
      </c>
      <c r="O1113" s="1" t="s">
        <v>4</v>
      </c>
      <c r="P1113" s="1" t="s">
        <v>5</v>
      </c>
      <c r="S1113" s="1">
        <f t="shared" si="1539"/>
        <v>20</v>
      </c>
      <c r="T1113" s="1">
        <v>210</v>
      </c>
    </row>
    <row r="1114" spans="1:20" x14ac:dyDescent="0.3">
      <c r="A1114" s="1">
        <f t="shared" si="1582"/>
        <v>20211</v>
      </c>
      <c r="J1114" s="1" t="str">
        <f t="shared" ref="J1114" si="1609">CONCATENATE(J1113,"1")</f>
        <v>121</v>
      </c>
      <c r="M1114" s="1" t="e">
        <f t="array" ref="M1114:P1116">LINEST($B1120:$B1133,$C1120:$C1133^{1,2,3},TRUE,TRUE)</f>
        <v>#VALUE!</v>
      </c>
      <c r="N1114" s="1" t="e">
        <v>#VALUE!</v>
      </c>
      <c r="O1114" s="1" t="e">
        <v>#VALUE!</v>
      </c>
      <c r="P1114" s="1" t="e">
        <v>#VALUE!</v>
      </c>
      <c r="S1114" s="1">
        <f t="shared" si="1539"/>
        <v>20</v>
      </c>
      <c r="T1114" s="1">
        <v>211</v>
      </c>
    </row>
    <row r="1115" spans="1:20" x14ac:dyDescent="0.3">
      <c r="A1115" s="1">
        <f t="shared" si="1582"/>
        <v>20212</v>
      </c>
      <c r="B1115" s="59" t="s">
        <v>17</v>
      </c>
      <c r="C1115" s="59"/>
      <c r="D1115" s="59"/>
      <c r="E1115" s="59"/>
      <c r="F1115" s="59"/>
      <c r="G1115" s="60" t="s">
        <v>29</v>
      </c>
      <c r="H1115" s="61"/>
      <c r="J1115" s="1" t="str">
        <f t="shared" ref="J1115" si="1610">CONCATENATE(J1113,"2")</f>
        <v>122</v>
      </c>
      <c r="M1115" s="1" t="e">
        <v>#VALUE!</v>
      </c>
      <c r="N1115" s="1" t="e">
        <v>#VALUE!</v>
      </c>
      <c r="O1115" s="1" t="e">
        <v>#VALUE!</v>
      </c>
      <c r="P1115" s="1" t="e">
        <v>#VALUE!</v>
      </c>
      <c r="S1115" s="1">
        <f t="shared" si="1539"/>
        <v>20</v>
      </c>
      <c r="T1115" s="1">
        <v>212</v>
      </c>
    </row>
    <row r="1116" spans="1:20" x14ac:dyDescent="0.3">
      <c r="A1116" s="1">
        <f t="shared" si="1582"/>
        <v>20213</v>
      </c>
      <c r="B1116" s="54" t="s">
        <v>18</v>
      </c>
      <c r="C1116" s="54"/>
      <c r="D1116" s="54"/>
      <c r="E1116" s="54" t="str">
        <f t="shared" ref="E1116" si="1611">IF(D1109="","",D1109)</f>
        <v>E0526A/24</v>
      </c>
      <c r="F1116" s="54"/>
      <c r="G1116" s="5" t="s">
        <v>18</v>
      </c>
      <c r="H1116" s="20" t="s">
        <v>103</v>
      </c>
      <c r="J1116" s="1" t="str">
        <f t="shared" ref="J1116" si="1612">CONCATENATE(J1113,"3")</f>
        <v>123</v>
      </c>
      <c r="M1116" s="1" t="e">
        <v>#VALUE!</v>
      </c>
      <c r="N1116" s="1" t="e">
        <v>#VALUE!</v>
      </c>
      <c r="O1116" s="1" t="e">
        <v>#VALUE!</v>
      </c>
      <c r="P1116" s="1" t="e">
        <v>#VALUE!</v>
      </c>
      <c r="S1116" s="1">
        <f t="shared" si="1539"/>
        <v>20</v>
      </c>
      <c r="T1116" s="1">
        <v>213</v>
      </c>
    </row>
    <row r="1117" spans="1:20" ht="15" customHeight="1" x14ac:dyDescent="0.3">
      <c r="A1117" s="1">
        <f t="shared" si="1582"/>
        <v>20214</v>
      </c>
      <c r="B1117" s="6" t="s">
        <v>19</v>
      </c>
      <c r="C1117" s="6" t="s">
        <v>20</v>
      </c>
      <c r="D1117" s="6" t="s">
        <v>21</v>
      </c>
      <c r="E1117" s="6"/>
      <c r="F1117" s="55" t="s">
        <v>31</v>
      </c>
      <c r="G1117" s="6" t="s">
        <v>19</v>
      </c>
      <c r="H1117" s="6" t="s">
        <v>20</v>
      </c>
      <c r="J1117" s="1">
        <f t="shared" ref="J1117" si="1613">J1113-1</f>
        <v>11</v>
      </c>
      <c r="M1117" s="1" t="s">
        <v>2</v>
      </c>
      <c r="N1117" s="1" t="s">
        <v>3</v>
      </c>
      <c r="O1117" s="1" t="s">
        <v>4</v>
      </c>
      <c r="P1117" s="1" t="s">
        <v>5</v>
      </c>
      <c r="S1117" s="1">
        <f t="shared" si="1539"/>
        <v>20</v>
      </c>
      <c r="T1117" s="1">
        <v>214</v>
      </c>
    </row>
    <row r="1118" spans="1:20" x14ac:dyDescent="0.3">
      <c r="A1118" s="1">
        <f t="shared" si="1582"/>
        <v>20215</v>
      </c>
      <c r="B1118" s="6" t="s">
        <v>22</v>
      </c>
      <c r="C1118" s="6" t="s">
        <v>23</v>
      </c>
      <c r="D1118" s="6" t="s">
        <v>24</v>
      </c>
      <c r="E1118" s="6" t="s">
        <v>30</v>
      </c>
      <c r="F1118" s="55"/>
      <c r="G1118" s="6" t="s">
        <v>22</v>
      </c>
      <c r="H1118" s="6" t="s">
        <v>23</v>
      </c>
      <c r="J1118" s="1" t="str">
        <f t="shared" ref="J1118" si="1614">CONCATENATE(J1117,"1")</f>
        <v>111</v>
      </c>
      <c r="M1118" s="1" t="e">
        <f t="array" ref="M1118:P1120">LINEST($B1120:$B1132,$C1120:$C1132^{1,2,3},TRUE,TRUE)</f>
        <v>#VALUE!</v>
      </c>
      <c r="N1118" s="1" t="e">
        <v>#VALUE!</v>
      </c>
      <c r="O1118" s="1" t="e">
        <v>#VALUE!</v>
      </c>
      <c r="P1118" s="1" t="e">
        <v>#VALUE!</v>
      </c>
      <c r="S1118" s="1">
        <f t="shared" si="1539"/>
        <v>20</v>
      </c>
      <c r="T1118" s="1">
        <v>215</v>
      </c>
    </row>
    <row r="1119" spans="1:20" x14ac:dyDescent="0.3">
      <c r="A1119" s="1">
        <f t="shared" si="1582"/>
        <v>20216</v>
      </c>
      <c r="B1119" s="7" t="str">
        <f t="shared" ref="B1119" si="1615">IF(H1112="","",H1112)</f>
        <v>hPa</v>
      </c>
      <c r="C1119" s="7" t="str">
        <f t="shared" ref="C1119" si="1616">IF(H1112="","",H1112)</f>
        <v>hPa</v>
      </c>
      <c r="D1119" s="7" t="str">
        <f t="shared" ref="D1119" si="1617">IF(H1112="","",H1112)</f>
        <v>hPa</v>
      </c>
      <c r="E1119" s="7"/>
      <c r="F1119" s="7" t="str">
        <f t="shared" ref="F1119" si="1618">IF(I1112="","",I1112)</f>
        <v/>
      </c>
      <c r="G1119" s="7" t="str">
        <f t="shared" ref="G1119" si="1619">IF(H1112="","",H1112)</f>
        <v>hPa</v>
      </c>
      <c r="H1119" s="7" t="str">
        <f t="shared" ref="H1119" si="1620">IF(H1112="","",H1112)</f>
        <v>hPa</v>
      </c>
      <c r="J1119" s="1" t="str">
        <f t="shared" ref="J1119" si="1621">CONCATENATE(J1117,"2")</f>
        <v>112</v>
      </c>
      <c r="M1119" s="1" t="e">
        <v>#VALUE!</v>
      </c>
      <c r="N1119" s="1" t="e">
        <v>#VALUE!</v>
      </c>
      <c r="O1119" s="1" t="e">
        <v>#VALUE!</v>
      </c>
      <c r="P1119" s="1" t="e">
        <v>#VALUE!</v>
      </c>
      <c r="S1119" s="1">
        <f t="shared" si="1539"/>
        <v>20</v>
      </c>
      <c r="T1119" s="1">
        <v>216</v>
      </c>
    </row>
    <row r="1120" spans="1:20" x14ac:dyDescent="0.3">
      <c r="A1120" s="1">
        <f t="shared" si="1582"/>
        <v>20217</v>
      </c>
      <c r="B1120" s="24">
        <v>600</v>
      </c>
      <c r="C1120" s="24">
        <v>599</v>
      </c>
      <c r="D1120" s="24">
        <v>1</v>
      </c>
      <c r="E1120" s="24">
        <v>2</v>
      </c>
      <c r="F1120" s="24">
        <v>1000000</v>
      </c>
      <c r="G1120" s="25">
        <v>600</v>
      </c>
      <c r="H1120" s="25">
        <v>600</v>
      </c>
      <c r="J1120" s="1" t="str">
        <f t="shared" ref="J1120" si="1622">CONCATENATE(J1117,"3")</f>
        <v>113</v>
      </c>
      <c r="M1120" s="1" t="e">
        <v>#VALUE!</v>
      </c>
      <c r="N1120" s="1" t="e">
        <v>#VALUE!</v>
      </c>
      <c r="O1120" s="1" t="e">
        <v>#VALUE!</v>
      </c>
      <c r="P1120" s="1" t="e">
        <v>#VALUE!</v>
      </c>
      <c r="S1120" s="1">
        <f t="shared" si="1539"/>
        <v>20</v>
      </c>
      <c r="T1120" s="1">
        <v>217</v>
      </c>
    </row>
    <row r="1121" spans="1:20" x14ac:dyDescent="0.3">
      <c r="A1121" s="1">
        <f t="shared" si="1582"/>
        <v>20218</v>
      </c>
      <c r="B1121" s="24">
        <v>700</v>
      </c>
      <c r="C1121" s="24">
        <v>699</v>
      </c>
      <c r="D1121" s="24">
        <v>1</v>
      </c>
      <c r="E1121" s="24">
        <v>2</v>
      </c>
      <c r="F1121" s="24">
        <v>1000000</v>
      </c>
      <c r="G1121" s="25">
        <v>700</v>
      </c>
      <c r="H1121" s="25">
        <v>699</v>
      </c>
      <c r="J1121" s="1">
        <f t="shared" ref="J1121" si="1623">J1117-1</f>
        <v>10</v>
      </c>
      <c r="M1121" s="1" t="s">
        <v>2</v>
      </c>
      <c r="N1121" s="1" t="s">
        <v>3</v>
      </c>
      <c r="O1121" s="1" t="s">
        <v>4</v>
      </c>
      <c r="P1121" s="1" t="s">
        <v>5</v>
      </c>
      <c r="S1121" s="1">
        <f t="shared" si="1539"/>
        <v>20</v>
      </c>
      <c r="T1121" s="1">
        <v>218</v>
      </c>
    </row>
    <row r="1122" spans="1:20" x14ac:dyDescent="0.3">
      <c r="A1122" s="1">
        <f t="shared" si="1582"/>
        <v>20219</v>
      </c>
      <c r="B1122" s="24">
        <v>800</v>
      </c>
      <c r="C1122" s="24">
        <v>799</v>
      </c>
      <c r="D1122" s="24">
        <v>1</v>
      </c>
      <c r="E1122" s="24">
        <v>2</v>
      </c>
      <c r="F1122" s="24">
        <v>1000000</v>
      </c>
      <c r="G1122" s="25">
        <v>800</v>
      </c>
      <c r="H1122" s="25">
        <v>799</v>
      </c>
      <c r="J1122" s="1" t="str">
        <f t="shared" ref="J1122" si="1624">CONCATENATE(J1121,"1")</f>
        <v>101</v>
      </c>
      <c r="M1122" s="1" t="e">
        <f t="array" ref="M1122:P1124">LINEST($B1120:$B1131,$C1120:$C1131^{1,2,3},TRUE,TRUE)</f>
        <v>#VALUE!</v>
      </c>
      <c r="N1122" s="1" t="e">
        <v>#VALUE!</v>
      </c>
      <c r="O1122" s="1" t="e">
        <v>#VALUE!</v>
      </c>
      <c r="P1122" s="1" t="e">
        <v>#VALUE!</v>
      </c>
      <c r="S1122" s="1">
        <f t="shared" si="1539"/>
        <v>20</v>
      </c>
      <c r="T1122" s="1">
        <v>219</v>
      </c>
    </row>
    <row r="1123" spans="1:20" x14ac:dyDescent="0.3">
      <c r="A1123" s="1">
        <f t="shared" si="1582"/>
        <v>20220</v>
      </c>
      <c r="B1123" s="24">
        <v>900</v>
      </c>
      <c r="C1123" s="24">
        <v>899</v>
      </c>
      <c r="D1123" s="24">
        <v>1</v>
      </c>
      <c r="E1123" s="24">
        <v>2</v>
      </c>
      <c r="F1123" s="24">
        <v>1000000</v>
      </c>
      <c r="G1123" s="25">
        <v>900</v>
      </c>
      <c r="H1123" s="25">
        <v>899</v>
      </c>
      <c r="J1123" s="1" t="str">
        <f t="shared" ref="J1123" si="1625">CONCATENATE(J1121,"2")</f>
        <v>102</v>
      </c>
      <c r="M1123" s="1" t="e">
        <v>#VALUE!</v>
      </c>
      <c r="N1123" s="1" t="e">
        <v>#VALUE!</v>
      </c>
      <c r="O1123" s="1" t="e">
        <v>#VALUE!</v>
      </c>
      <c r="P1123" s="1" t="e">
        <v>#VALUE!</v>
      </c>
      <c r="S1123" s="1">
        <f t="shared" si="1539"/>
        <v>20</v>
      </c>
      <c r="T1123" s="1">
        <v>220</v>
      </c>
    </row>
    <row r="1124" spans="1:20" x14ac:dyDescent="0.3">
      <c r="A1124" s="1">
        <f t="shared" si="1582"/>
        <v>20221</v>
      </c>
      <c r="B1124" s="24">
        <v>1000</v>
      </c>
      <c r="C1124" s="24">
        <v>999</v>
      </c>
      <c r="D1124" s="24">
        <v>1</v>
      </c>
      <c r="E1124" s="24">
        <v>2</v>
      </c>
      <c r="F1124" s="24">
        <v>1000000</v>
      </c>
      <c r="G1124" s="25">
        <v>1000</v>
      </c>
      <c r="H1124" s="25">
        <v>1001</v>
      </c>
      <c r="J1124" s="1" t="str">
        <f t="shared" ref="J1124" si="1626">CONCATENATE(J1121,"3")</f>
        <v>103</v>
      </c>
      <c r="M1124" s="1" t="e">
        <v>#VALUE!</v>
      </c>
      <c r="N1124" s="1" t="e">
        <v>#VALUE!</v>
      </c>
      <c r="O1124" s="1" t="e">
        <v>#VALUE!</v>
      </c>
      <c r="P1124" s="1" t="e">
        <v>#VALUE!</v>
      </c>
      <c r="S1124" s="1">
        <f t="shared" si="1539"/>
        <v>20</v>
      </c>
      <c r="T1124" s="1">
        <v>221</v>
      </c>
    </row>
    <row r="1125" spans="1:20" x14ac:dyDescent="0.3">
      <c r="A1125" s="1">
        <f t="shared" si="1582"/>
        <v>20222</v>
      </c>
      <c r="B1125" s="24">
        <v>1100</v>
      </c>
      <c r="C1125" s="24">
        <v>1099</v>
      </c>
      <c r="D1125" s="24">
        <v>1</v>
      </c>
      <c r="E1125" s="24">
        <v>2</v>
      </c>
      <c r="F1125" s="24">
        <v>1000000</v>
      </c>
      <c r="G1125" s="25">
        <v>1100</v>
      </c>
      <c r="H1125" s="25">
        <v>1101</v>
      </c>
      <c r="J1125" s="1">
        <f t="shared" ref="J1125" si="1627">J1121-1</f>
        <v>9</v>
      </c>
      <c r="M1125" s="1" t="s">
        <v>2</v>
      </c>
      <c r="N1125" s="1" t="s">
        <v>3</v>
      </c>
      <c r="O1125" s="1" t="s">
        <v>4</v>
      </c>
      <c r="P1125" s="1" t="s">
        <v>5</v>
      </c>
      <c r="S1125" s="1">
        <f t="shared" si="1539"/>
        <v>20</v>
      </c>
      <c r="T1125" s="1">
        <v>222</v>
      </c>
    </row>
    <row r="1126" spans="1:20" x14ac:dyDescent="0.3">
      <c r="A1126" s="1">
        <f t="shared" si="1582"/>
        <v>20223</v>
      </c>
      <c r="B1126" s="24"/>
      <c r="C1126" s="24"/>
      <c r="D1126" s="24"/>
      <c r="E1126" s="24"/>
      <c r="F1126" s="24"/>
      <c r="G1126" s="25"/>
      <c r="H1126" s="25"/>
      <c r="J1126" s="1" t="str">
        <f t="shared" ref="J1126" si="1628">CONCATENATE(J1125,"1")</f>
        <v>91</v>
      </c>
      <c r="M1126" s="1" t="e">
        <f t="array" ref="M1126:P1128">LINEST($B1120:$B1130,$C1120:$C1130^{1,2,3},TRUE,TRUE)</f>
        <v>#VALUE!</v>
      </c>
      <c r="N1126" s="1" t="e">
        <v>#VALUE!</v>
      </c>
      <c r="O1126" s="1" t="e">
        <v>#VALUE!</v>
      </c>
      <c r="P1126" s="1" t="e">
        <v>#VALUE!</v>
      </c>
      <c r="S1126" s="1">
        <f t="shared" si="1539"/>
        <v>20</v>
      </c>
      <c r="T1126" s="1">
        <v>223</v>
      </c>
    </row>
    <row r="1127" spans="1:20" x14ac:dyDescent="0.3">
      <c r="A1127" s="1">
        <f t="shared" si="1582"/>
        <v>20224</v>
      </c>
      <c r="B1127" s="24"/>
      <c r="C1127" s="24"/>
      <c r="D1127" s="24"/>
      <c r="E1127" s="24"/>
      <c r="F1127" s="24"/>
      <c r="G1127" s="25"/>
      <c r="H1127" s="25"/>
      <c r="J1127" s="1" t="str">
        <f t="shared" ref="J1127" si="1629">CONCATENATE(J1125,"2")</f>
        <v>92</v>
      </c>
      <c r="M1127" s="1" t="e">
        <v>#VALUE!</v>
      </c>
      <c r="N1127" s="1" t="e">
        <v>#VALUE!</v>
      </c>
      <c r="O1127" s="1" t="e">
        <v>#VALUE!</v>
      </c>
      <c r="P1127" s="1" t="e">
        <v>#VALUE!</v>
      </c>
      <c r="S1127" s="1">
        <f t="shared" si="1539"/>
        <v>20</v>
      </c>
      <c r="T1127" s="1">
        <v>224</v>
      </c>
    </row>
    <row r="1128" spans="1:20" x14ac:dyDescent="0.3">
      <c r="A1128" s="1">
        <f t="shared" si="1582"/>
        <v>20225</v>
      </c>
      <c r="B1128" s="24"/>
      <c r="C1128" s="24"/>
      <c r="D1128" s="24"/>
      <c r="E1128" s="24"/>
      <c r="F1128" s="24"/>
      <c r="G1128" s="25"/>
      <c r="H1128" s="25"/>
      <c r="J1128" s="1" t="str">
        <f t="shared" ref="J1128" si="1630">CONCATENATE(J1125,"3")</f>
        <v>93</v>
      </c>
      <c r="M1128" s="1" t="e">
        <v>#VALUE!</v>
      </c>
      <c r="N1128" s="1" t="e">
        <v>#VALUE!</v>
      </c>
      <c r="O1128" s="1" t="e">
        <v>#VALUE!</v>
      </c>
      <c r="P1128" s="1" t="e">
        <v>#VALUE!</v>
      </c>
      <c r="S1128" s="1">
        <f t="shared" si="1539"/>
        <v>20</v>
      </c>
      <c r="T1128" s="1">
        <v>225</v>
      </c>
    </row>
    <row r="1129" spans="1:20" x14ac:dyDescent="0.3">
      <c r="A1129" s="1">
        <f t="shared" si="1582"/>
        <v>20226</v>
      </c>
      <c r="B1129" s="24"/>
      <c r="C1129" s="24"/>
      <c r="D1129" s="24"/>
      <c r="E1129" s="24"/>
      <c r="F1129" s="24"/>
      <c r="G1129" s="25"/>
      <c r="H1129" s="25"/>
      <c r="J1129" s="1">
        <f t="shared" ref="J1129" si="1631">J1125-1</f>
        <v>8</v>
      </c>
      <c r="M1129" s="1" t="s">
        <v>2</v>
      </c>
      <c r="N1129" s="1" t="s">
        <v>3</v>
      </c>
      <c r="O1129" s="1" t="s">
        <v>4</v>
      </c>
      <c r="P1129" s="1" t="s">
        <v>5</v>
      </c>
      <c r="S1129" s="1">
        <f t="shared" si="1539"/>
        <v>20</v>
      </c>
      <c r="T1129" s="1">
        <v>226</v>
      </c>
    </row>
    <row r="1130" spans="1:20" x14ac:dyDescent="0.3">
      <c r="A1130" s="1">
        <f t="shared" si="1582"/>
        <v>20227</v>
      </c>
      <c r="B1130" s="24"/>
      <c r="C1130" s="24"/>
      <c r="D1130" s="24"/>
      <c r="E1130" s="24"/>
      <c r="F1130" s="24"/>
      <c r="G1130" s="25"/>
      <c r="H1130" s="25"/>
      <c r="J1130" s="1" t="str">
        <f t="shared" ref="J1130" si="1632">CONCATENATE(J1129,"1")</f>
        <v>81</v>
      </c>
      <c r="M1130" s="1" t="e">
        <f t="array" ref="M1130:P1132">LINEST($B1120:$B1129,$C1120:$C1129^{1,2,3},TRUE,TRUE)</f>
        <v>#VALUE!</v>
      </c>
      <c r="N1130" s="1" t="e">
        <v>#VALUE!</v>
      </c>
      <c r="O1130" s="1" t="e">
        <v>#VALUE!</v>
      </c>
      <c r="P1130" s="1" t="e">
        <v>#VALUE!</v>
      </c>
      <c r="S1130" s="1">
        <f t="shared" si="1539"/>
        <v>20</v>
      </c>
      <c r="T1130" s="1">
        <v>227</v>
      </c>
    </row>
    <row r="1131" spans="1:20" x14ac:dyDescent="0.3">
      <c r="A1131" s="1">
        <f t="shared" si="1582"/>
        <v>20228</v>
      </c>
      <c r="B1131" s="24"/>
      <c r="C1131" s="24"/>
      <c r="D1131" s="24"/>
      <c r="E1131" s="24"/>
      <c r="F1131" s="24"/>
      <c r="G1131" s="25"/>
      <c r="H1131" s="25"/>
      <c r="J1131" s="1" t="str">
        <f t="shared" ref="J1131" si="1633">CONCATENATE(J1129,"2")</f>
        <v>82</v>
      </c>
      <c r="M1131" s="1" t="e">
        <v>#VALUE!</v>
      </c>
      <c r="N1131" s="1" t="e">
        <v>#VALUE!</v>
      </c>
      <c r="O1131" s="1" t="e">
        <v>#VALUE!</v>
      </c>
      <c r="P1131" s="1" t="e">
        <v>#VALUE!</v>
      </c>
      <c r="S1131" s="1">
        <f t="shared" si="1539"/>
        <v>20</v>
      </c>
      <c r="T1131" s="1">
        <v>228</v>
      </c>
    </row>
    <row r="1132" spans="1:20" x14ac:dyDescent="0.3">
      <c r="A1132" s="1">
        <f t="shared" si="1582"/>
        <v>20229</v>
      </c>
      <c r="B1132" s="24"/>
      <c r="C1132" s="24"/>
      <c r="D1132" s="24"/>
      <c r="E1132" s="24"/>
      <c r="F1132" s="24"/>
      <c r="G1132" s="25"/>
      <c r="H1132" s="25"/>
      <c r="J1132" s="1" t="str">
        <f t="shared" ref="J1132" si="1634">CONCATENATE(J1129,"3")</f>
        <v>83</v>
      </c>
      <c r="M1132" s="1" t="e">
        <v>#VALUE!</v>
      </c>
      <c r="N1132" s="1" t="e">
        <v>#VALUE!</v>
      </c>
      <c r="O1132" s="1" t="e">
        <v>#VALUE!</v>
      </c>
      <c r="P1132" s="1" t="e">
        <v>#VALUE!</v>
      </c>
      <c r="S1132" s="1">
        <f t="shared" si="1539"/>
        <v>20</v>
      </c>
      <c r="T1132" s="1">
        <v>229</v>
      </c>
    </row>
    <row r="1133" spans="1:20" x14ac:dyDescent="0.3">
      <c r="A1133" s="1">
        <f t="shared" si="1582"/>
        <v>20230</v>
      </c>
      <c r="B1133" s="24"/>
      <c r="C1133" s="24"/>
      <c r="D1133" s="24"/>
      <c r="E1133" s="24"/>
      <c r="F1133" s="24"/>
      <c r="G1133" s="25"/>
      <c r="H1133" s="25"/>
      <c r="J1133" s="1">
        <f t="shared" ref="J1133" si="1635">J1129-1</f>
        <v>7</v>
      </c>
      <c r="M1133" s="1" t="s">
        <v>2</v>
      </c>
      <c r="N1133" s="1" t="s">
        <v>3</v>
      </c>
      <c r="O1133" s="1" t="s">
        <v>4</v>
      </c>
      <c r="P1133" s="1" t="s">
        <v>5</v>
      </c>
      <c r="S1133" s="1">
        <f t="shared" si="1539"/>
        <v>20</v>
      </c>
      <c r="T1133" s="1">
        <v>230</v>
      </c>
    </row>
    <row r="1134" spans="1:20" x14ac:dyDescent="0.3">
      <c r="A1134" s="1">
        <f t="shared" si="1582"/>
        <v>20231</v>
      </c>
      <c r="B1134" s="24"/>
      <c r="C1134" s="24"/>
      <c r="D1134" s="24"/>
      <c r="E1134" s="24"/>
      <c r="F1134" s="24"/>
      <c r="G1134" s="25"/>
      <c r="H1134" s="25"/>
      <c r="J1134" s="1" t="str">
        <f t="shared" ref="J1134" si="1636">CONCATENATE(J1133,"1")</f>
        <v>71</v>
      </c>
      <c r="M1134" s="1" t="e">
        <f t="array" ref="M1134:P1136">LINEST($B1120:$B1128,$C1120:$C1128^{1,2,3},TRUE,TRUE)</f>
        <v>#VALUE!</v>
      </c>
      <c r="N1134" s="1" t="e">
        <v>#VALUE!</v>
      </c>
      <c r="O1134" s="1" t="e">
        <v>#VALUE!</v>
      </c>
      <c r="P1134" s="1" t="e">
        <v>#VALUE!</v>
      </c>
      <c r="S1134" s="1">
        <f t="shared" si="1539"/>
        <v>20</v>
      </c>
      <c r="T1134" s="1">
        <v>231</v>
      </c>
    </row>
    <row r="1135" spans="1:20" x14ac:dyDescent="0.3">
      <c r="A1135" s="1">
        <f t="shared" si="1582"/>
        <v>20232</v>
      </c>
      <c r="B1135" s="2">
        <f t="shared" ref="B1135" si="1637">COUNT(B1120:B1134)-2</f>
        <v>4</v>
      </c>
      <c r="J1135" s="1" t="str">
        <f t="shared" ref="J1135" si="1638">CONCATENATE(J1133,"2")</f>
        <v>72</v>
      </c>
      <c r="M1135" s="1" t="e">
        <v>#VALUE!</v>
      </c>
      <c r="N1135" s="1" t="e">
        <v>#VALUE!</v>
      </c>
      <c r="O1135" s="1" t="e">
        <v>#VALUE!</v>
      </c>
      <c r="P1135" s="1" t="e">
        <v>#VALUE!</v>
      </c>
      <c r="S1135" s="1">
        <f t="shared" si="1539"/>
        <v>20</v>
      </c>
      <c r="T1135" s="1">
        <v>232</v>
      </c>
    </row>
    <row r="1136" spans="1:20" x14ac:dyDescent="0.3">
      <c r="A1136" s="1">
        <f t="shared" si="1582"/>
        <v>20233</v>
      </c>
      <c r="J1136" s="1" t="str">
        <f t="shared" ref="J1136" si="1639">CONCATENATE(J1133,"3")</f>
        <v>73</v>
      </c>
      <c r="M1136" s="1" t="e">
        <v>#VALUE!</v>
      </c>
      <c r="N1136" s="1" t="e">
        <v>#VALUE!</v>
      </c>
      <c r="O1136" s="1" t="e">
        <v>#VALUE!</v>
      </c>
      <c r="P1136" s="1" t="e">
        <v>#VALUE!</v>
      </c>
      <c r="S1136" s="1">
        <f t="shared" si="1539"/>
        <v>20</v>
      </c>
      <c r="T1136" s="1">
        <v>233</v>
      </c>
    </row>
    <row r="1137" spans="1:20" x14ac:dyDescent="0.3">
      <c r="A1137" s="1">
        <f t="shared" si="1582"/>
        <v>20234</v>
      </c>
      <c r="B1137" s="54" t="s">
        <v>25</v>
      </c>
      <c r="C1137" s="54"/>
      <c r="D1137" s="54"/>
      <c r="E1137" s="54"/>
      <c r="F1137" s="54"/>
      <c r="G1137" s="54"/>
      <c r="H1137" s="54"/>
      <c r="J1137" s="1">
        <f t="shared" ref="J1137" si="1640">J1133-1</f>
        <v>6</v>
      </c>
      <c r="M1137" s="1" t="s">
        <v>2</v>
      </c>
      <c r="N1137" s="1" t="s">
        <v>3</v>
      </c>
      <c r="O1137" s="1" t="s">
        <v>4</v>
      </c>
      <c r="P1137" s="1" t="s">
        <v>5</v>
      </c>
      <c r="S1137" s="1">
        <f t="shared" ref="S1137:S1160" si="1641">S1136</f>
        <v>20</v>
      </c>
      <c r="T1137" s="1">
        <v>234</v>
      </c>
    </row>
    <row r="1138" spans="1:20" x14ac:dyDescent="0.3">
      <c r="A1138" s="1">
        <f t="shared" si="1582"/>
        <v>20235</v>
      </c>
      <c r="B1138" s="56"/>
      <c r="C1138" s="56"/>
      <c r="D1138" s="56"/>
      <c r="E1138" s="56"/>
      <c r="F1138" s="56"/>
      <c r="G1138" s="56"/>
      <c r="H1138" s="56"/>
      <c r="J1138" s="1" t="str">
        <f t="shared" ref="J1138" si="1642">CONCATENATE(J1137,"1")</f>
        <v>61</v>
      </c>
      <c r="M1138" s="1" t="e">
        <f t="array" ref="M1138:P1140">LINEST($B1120:$B1127,$C1120:$C1127^{1,2,3},TRUE,TRUE)</f>
        <v>#VALUE!</v>
      </c>
      <c r="N1138" s="1" t="e">
        <v>#VALUE!</v>
      </c>
      <c r="O1138" s="1" t="e">
        <v>#VALUE!</v>
      </c>
      <c r="P1138" s="1" t="e">
        <v>#VALUE!</v>
      </c>
      <c r="S1138" s="1">
        <f t="shared" si="1641"/>
        <v>20</v>
      </c>
      <c r="T1138" s="1">
        <v>235</v>
      </c>
    </row>
    <row r="1139" spans="1:20" x14ac:dyDescent="0.3">
      <c r="A1139" s="1">
        <f t="shared" si="1582"/>
        <v>20236</v>
      </c>
      <c r="B1139" s="56"/>
      <c r="C1139" s="56"/>
      <c r="D1139" s="56"/>
      <c r="E1139" s="56"/>
      <c r="F1139" s="56"/>
      <c r="G1139" s="56"/>
      <c r="H1139" s="56"/>
      <c r="J1139" s="1" t="str">
        <f t="shared" ref="J1139" si="1643">CONCATENATE(J1137,"2")</f>
        <v>62</v>
      </c>
      <c r="M1139" s="1" t="e">
        <v>#VALUE!</v>
      </c>
      <c r="N1139" s="1" t="e">
        <v>#VALUE!</v>
      </c>
      <c r="O1139" s="1" t="e">
        <v>#VALUE!</v>
      </c>
      <c r="P1139" s="1" t="e">
        <v>#VALUE!</v>
      </c>
      <c r="S1139" s="1">
        <f t="shared" si="1641"/>
        <v>20</v>
      </c>
      <c r="T1139" s="1">
        <v>236</v>
      </c>
    </row>
    <row r="1140" spans="1:20" x14ac:dyDescent="0.3">
      <c r="A1140" s="1">
        <f t="shared" si="1582"/>
        <v>20237</v>
      </c>
      <c r="J1140" s="1" t="str">
        <f t="shared" ref="J1140" si="1644">CONCATENATE(J1137,"3")</f>
        <v>63</v>
      </c>
      <c r="M1140" s="1" t="e">
        <v>#VALUE!</v>
      </c>
      <c r="N1140" s="1" t="e">
        <v>#VALUE!</v>
      </c>
      <c r="O1140" s="1" t="e">
        <v>#VALUE!</v>
      </c>
      <c r="P1140" s="1" t="e">
        <v>#VALUE!</v>
      </c>
      <c r="S1140" s="1">
        <f t="shared" si="1641"/>
        <v>20</v>
      </c>
      <c r="T1140" s="1">
        <v>237</v>
      </c>
    </row>
    <row r="1141" spans="1:20" ht="15" customHeight="1" x14ac:dyDescent="0.3">
      <c r="A1141" s="1">
        <f t="shared" si="1582"/>
        <v>20238</v>
      </c>
      <c r="J1141" s="1">
        <f t="shared" ref="J1141" si="1645">J1137-1</f>
        <v>5</v>
      </c>
      <c r="M1141" s="1" t="s">
        <v>2</v>
      </c>
      <c r="N1141" s="1" t="s">
        <v>3</v>
      </c>
      <c r="O1141" s="1" t="s">
        <v>4</v>
      </c>
      <c r="P1141" s="1" t="s">
        <v>5</v>
      </c>
      <c r="S1141" s="1">
        <f t="shared" si="1641"/>
        <v>20</v>
      </c>
      <c r="T1141" s="1">
        <v>238</v>
      </c>
    </row>
    <row r="1142" spans="1:20" x14ac:dyDescent="0.3">
      <c r="A1142" s="1">
        <f t="shared" si="1582"/>
        <v>20239</v>
      </c>
      <c r="J1142" s="1" t="str">
        <f t="shared" ref="J1142" si="1646">CONCATENATE(J1141,"1")</f>
        <v>51</v>
      </c>
      <c r="M1142" s="1" t="e">
        <f t="array" ref="M1142:P1144">LINEST($B1120:$B1126,$C1120:$C1126^{1,2,3},TRUE,TRUE)</f>
        <v>#VALUE!</v>
      </c>
      <c r="N1142" s="1" t="e">
        <v>#VALUE!</v>
      </c>
      <c r="O1142" s="1" t="e">
        <v>#VALUE!</v>
      </c>
      <c r="P1142" s="1" t="e">
        <v>#VALUE!</v>
      </c>
      <c r="S1142" s="1">
        <f t="shared" si="1641"/>
        <v>20</v>
      </c>
      <c r="T1142" s="1">
        <v>239</v>
      </c>
    </row>
    <row r="1143" spans="1:20" x14ac:dyDescent="0.3">
      <c r="A1143" s="1">
        <f t="shared" si="1582"/>
        <v>20240</v>
      </c>
      <c r="E1143" s="26"/>
      <c r="F1143" s="26"/>
      <c r="G1143" s="26"/>
      <c r="H1143" s="26"/>
      <c r="J1143" s="1" t="str">
        <f t="shared" ref="J1143" si="1647">CONCATENATE(J1141,"2")</f>
        <v>52</v>
      </c>
      <c r="M1143" s="1" t="e">
        <v>#VALUE!</v>
      </c>
      <c r="N1143" s="1" t="e">
        <v>#VALUE!</v>
      </c>
      <c r="O1143" s="1" t="e">
        <v>#VALUE!</v>
      </c>
      <c r="P1143" s="1" t="e">
        <v>#VALUE!</v>
      </c>
      <c r="S1143" s="1">
        <f t="shared" si="1641"/>
        <v>20</v>
      </c>
      <c r="T1143" s="1">
        <v>240</v>
      </c>
    </row>
    <row r="1144" spans="1:20" x14ac:dyDescent="0.3">
      <c r="A1144" s="1">
        <f t="shared" si="1582"/>
        <v>20241</v>
      </c>
      <c r="B1144" s="54" t="s">
        <v>90</v>
      </c>
      <c r="C1144" s="54"/>
      <c r="D1144" s="54"/>
      <c r="E1144" s="27">
        <f t="shared" ref="E1144" si="1648">IF(D1106="","",MAX(E1145,E1146))</f>
        <v>2</v>
      </c>
      <c r="F1144" s="26"/>
      <c r="G1144" s="26"/>
      <c r="H1144" s="26"/>
      <c r="J1144" s="1" t="str">
        <f t="shared" ref="J1144" si="1649">CONCATENATE(J1141,"3")</f>
        <v>53</v>
      </c>
      <c r="M1144" s="1" t="e">
        <v>#VALUE!</v>
      </c>
      <c r="N1144" s="1" t="e">
        <v>#VALUE!</v>
      </c>
      <c r="O1144" s="1" t="e">
        <v>#VALUE!</v>
      </c>
      <c r="P1144" s="1" t="e">
        <v>#VALUE!</v>
      </c>
      <c r="S1144" s="1">
        <f t="shared" si="1641"/>
        <v>20</v>
      </c>
      <c r="T1144" s="1">
        <v>241</v>
      </c>
    </row>
    <row r="1145" spans="1:20" x14ac:dyDescent="0.3">
      <c r="A1145" s="1">
        <f t="shared" si="1582"/>
        <v>20242</v>
      </c>
      <c r="B1145" s="2" t="s">
        <v>26</v>
      </c>
      <c r="C1145" s="2" t="s">
        <v>27</v>
      </c>
      <c r="D1145" s="2" t="s">
        <v>28</v>
      </c>
      <c r="E1145" s="28">
        <f t="shared" ref="E1145" si="1650">ABS(MIN(D1146:D1160))</f>
        <v>0</v>
      </c>
      <c r="F1145" s="26"/>
      <c r="H1145" s="26"/>
      <c r="J1145" s="1">
        <f t="shared" ref="J1145" si="1651">J1141-1</f>
        <v>4</v>
      </c>
      <c r="M1145" s="1" t="s">
        <v>2</v>
      </c>
      <c r="N1145" s="1" t="s">
        <v>3</v>
      </c>
      <c r="O1145" s="1" t="s">
        <v>4</v>
      </c>
      <c r="P1145" s="1" t="s">
        <v>5</v>
      </c>
      <c r="S1145" s="1">
        <f t="shared" si="1641"/>
        <v>20</v>
      </c>
      <c r="T1145" s="1">
        <v>242</v>
      </c>
    </row>
    <row r="1146" spans="1:20" x14ac:dyDescent="0.3">
      <c r="A1146" s="1">
        <f t="shared" si="1582"/>
        <v>20243</v>
      </c>
      <c r="B1146" s="2">
        <f t="shared" ref="B1146:B1160" si="1652">C1120-B1120</f>
        <v>-1</v>
      </c>
      <c r="C1146" s="2">
        <f t="shared" ref="C1146:C1160" si="1653">H1120-G1120</f>
        <v>0</v>
      </c>
      <c r="D1146" s="2">
        <f t="shared" ref="D1146:D1160" si="1654">C1146-B1146</f>
        <v>1</v>
      </c>
      <c r="E1146" s="28">
        <f t="shared" ref="E1146" si="1655">ABS(MAX(D1146:D1160))</f>
        <v>2</v>
      </c>
      <c r="F1146" s="26"/>
      <c r="H1146" s="26"/>
      <c r="J1146" s="1" t="str">
        <f t="shared" ref="J1146" si="1656">CONCATENATE(J1145,"1")</f>
        <v>41</v>
      </c>
      <c r="M1146" s="1">
        <f t="array" ref="M1146:P1148">LINEST($B1120:$B1125,$C1120:$C1125^{1,2,3},TRUE,TRUE)</f>
        <v>0</v>
      </c>
      <c r="N1146" s="1">
        <v>0</v>
      </c>
      <c r="O1146" s="1">
        <v>1</v>
      </c>
      <c r="P1146" s="1">
        <v>1</v>
      </c>
      <c r="S1146" s="1">
        <f t="shared" si="1641"/>
        <v>20</v>
      </c>
      <c r="T1146" s="1">
        <v>243</v>
      </c>
    </row>
    <row r="1147" spans="1:20" x14ac:dyDescent="0.3">
      <c r="A1147" s="1">
        <f t="shared" si="1582"/>
        <v>20244</v>
      </c>
      <c r="B1147" s="2">
        <f t="shared" si="1652"/>
        <v>-1</v>
      </c>
      <c r="C1147" s="2">
        <f t="shared" si="1653"/>
        <v>-1</v>
      </c>
      <c r="D1147" s="2">
        <f t="shared" si="1654"/>
        <v>0</v>
      </c>
      <c r="E1147" s="29" t="s">
        <v>32</v>
      </c>
      <c r="F1147" s="26"/>
      <c r="H1147" s="26"/>
      <c r="J1147" s="1" t="str">
        <f t="shared" ref="J1147" si="1657">CONCATENATE(J1145,"2")</f>
        <v>42</v>
      </c>
      <c r="M1147" s="1">
        <v>0</v>
      </c>
      <c r="N1147" s="1">
        <v>0</v>
      </c>
      <c r="O1147" s="1">
        <v>0</v>
      </c>
      <c r="P1147" s="1">
        <v>0</v>
      </c>
      <c r="S1147" s="1">
        <f t="shared" si="1641"/>
        <v>20</v>
      </c>
      <c r="T1147" s="1">
        <v>244</v>
      </c>
    </row>
    <row r="1148" spans="1:20" x14ac:dyDescent="0.3">
      <c r="A1148" s="1">
        <f t="shared" si="1582"/>
        <v>20245</v>
      </c>
      <c r="B1148" s="2">
        <f t="shared" si="1652"/>
        <v>-1</v>
      </c>
      <c r="C1148" s="2">
        <f t="shared" si="1653"/>
        <v>-1</v>
      </c>
      <c r="D1148" s="2">
        <f t="shared" si="1654"/>
        <v>0</v>
      </c>
      <c r="E1148" s="27">
        <f t="shared" ref="E1148" si="1658">IF(D1106="","",MAX(E1149,E1150))</f>
        <v>1</v>
      </c>
      <c r="F1148" s="26"/>
      <c r="H1148" s="26"/>
      <c r="J1148" s="1" t="str">
        <f t="shared" ref="J1148" si="1659">CONCATENATE(J1145,"3")</f>
        <v>43</v>
      </c>
      <c r="M1148" s="1">
        <v>1</v>
      </c>
      <c r="N1148" s="1">
        <v>0</v>
      </c>
      <c r="O1148" s="1" t="e">
        <v>#N/A</v>
      </c>
      <c r="P1148" s="1" t="e">
        <v>#N/A</v>
      </c>
      <c r="S1148" s="1">
        <f t="shared" si="1641"/>
        <v>20</v>
      </c>
      <c r="T1148" s="1">
        <v>245</v>
      </c>
    </row>
    <row r="1149" spans="1:20" x14ac:dyDescent="0.3">
      <c r="A1149" s="1">
        <f t="shared" si="1582"/>
        <v>20246</v>
      </c>
      <c r="B1149" s="2">
        <f t="shared" si="1652"/>
        <v>-1</v>
      </c>
      <c r="C1149" s="2">
        <f t="shared" si="1653"/>
        <v>-1</v>
      </c>
      <c r="D1149" s="2">
        <f t="shared" si="1654"/>
        <v>0</v>
      </c>
      <c r="E1149" s="28">
        <f t="shared" ref="E1149" si="1660">ABS(MIN(B1146:B1160))</f>
        <v>1</v>
      </c>
      <c r="F1149" s="26"/>
      <c r="H1149" s="26"/>
      <c r="J1149" s="1">
        <f t="shared" ref="J1149" si="1661">J1145-1</f>
        <v>3</v>
      </c>
      <c r="M1149" s="1" t="s">
        <v>2</v>
      </c>
      <c r="N1149" s="1" t="s">
        <v>3</v>
      </c>
      <c r="O1149" s="1" t="s">
        <v>4</v>
      </c>
      <c r="P1149" s="1" t="s">
        <v>5</v>
      </c>
      <c r="S1149" s="1">
        <f t="shared" si="1641"/>
        <v>20</v>
      </c>
      <c r="T1149" s="1">
        <v>246</v>
      </c>
    </row>
    <row r="1150" spans="1:20" x14ac:dyDescent="0.3">
      <c r="A1150" s="1">
        <f t="shared" si="1582"/>
        <v>20247</v>
      </c>
      <c r="B1150" s="2">
        <f t="shared" si="1652"/>
        <v>-1</v>
      </c>
      <c r="C1150" s="2">
        <f t="shared" si="1653"/>
        <v>1</v>
      </c>
      <c r="D1150" s="2">
        <f t="shared" si="1654"/>
        <v>2</v>
      </c>
      <c r="E1150" s="28">
        <f t="shared" ref="E1150" si="1662">ABS(MAX(B1146:B1160))</f>
        <v>0</v>
      </c>
      <c r="F1150" s="26"/>
      <c r="H1150" s="26"/>
      <c r="J1150" s="1" t="str">
        <f t="shared" ref="J1150" si="1663">CONCATENATE(J1149,"1")</f>
        <v>31</v>
      </c>
      <c r="M1150" s="1">
        <f t="array" ref="M1150:P1152">LINEST($B1120:$B1124,$C1120:$C1124^{1,2,3},TRUE,TRUE)</f>
        <v>0</v>
      </c>
      <c r="N1150" s="1">
        <v>0</v>
      </c>
      <c r="O1150" s="1">
        <v>1</v>
      </c>
      <c r="P1150" s="1">
        <v>1</v>
      </c>
      <c r="S1150" s="1">
        <f t="shared" si="1641"/>
        <v>20</v>
      </c>
      <c r="T1150" s="1">
        <v>247</v>
      </c>
    </row>
    <row r="1151" spans="1:20" x14ac:dyDescent="0.3">
      <c r="A1151" s="1">
        <f t="shared" si="1582"/>
        <v>20248</v>
      </c>
      <c r="B1151" s="2">
        <f t="shared" si="1652"/>
        <v>-1</v>
      </c>
      <c r="C1151" s="2">
        <f t="shared" si="1653"/>
        <v>1</v>
      </c>
      <c r="D1151" s="2">
        <f t="shared" si="1654"/>
        <v>2</v>
      </c>
      <c r="E1151" s="29" t="s">
        <v>33</v>
      </c>
      <c r="F1151" s="26"/>
      <c r="J1151" s="1" t="str">
        <f t="shared" ref="J1151" si="1664">CONCATENATE(J1149,"2")</f>
        <v>32</v>
      </c>
      <c r="M1151" s="1">
        <v>0</v>
      </c>
      <c r="N1151" s="1">
        <v>0</v>
      </c>
      <c r="O1151" s="1">
        <v>0</v>
      </c>
      <c r="P1151" s="1">
        <v>0</v>
      </c>
      <c r="S1151" s="1">
        <f t="shared" si="1641"/>
        <v>20</v>
      </c>
      <c r="T1151" s="1">
        <v>248</v>
      </c>
    </row>
    <row r="1152" spans="1:20" x14ac:dyDescent="0.3">
      <c r="A1152" s="1">
        <f t="shared" si="1582"/>
        <v>20249</v>
      </c>
      <c r="B1152" s="2">
        <f t="shared" si="1652"/>
        <v>0</v>
      </c>
      <c r="C1152" s="2">
        <f t="shared" si="1653"/>
        <v>0</v>
      </c>
      <c r="D1152" s="2">
        <f t="shared" si="1654"/>
        <v>0</v>
      </c>
      <c r="E1152" s="27">
        <f t="shared" ref="E1152" si="1665">IF(D1106="","",MAX(E1153,E1154))</f>
        <v>1</v>
      </c>
      <c r="F1152" s="26"/>
      <c r="J1152" s="1" t="str">
        <f t="shared" ref="J1152" si="1666">CONCATENATE(J1149,"3")</f>
        <v>33</v>
      </c>
      <c r="M1152" s="1">
        <v>1</v>
      </c>
      <c r="N1152" s="1">
        <v>0</v>
      </c>
      <c r="O1152" s="1" t="e">
        <v>#N/A</v>
      </c>
      <c r="P1152" s="1" t="e">
        <v>#N/A</v>
      </c>
      <c r="S1152" s="1">
        <f t="shared" si="1641"/>
        <v>20</v>
      </c>
      <c r="T1152" s="1">
        <v>249</v>
      </c>
    </row>
    <row r="1153" spans="1:20" x14ac:dyDescent="0.3">
      <c r="A1153" s="1">
        <f t="shared" si="1582"/>
        <v>20250</v>
      </c>
      <c r="B1153" s="2">
        <f t="shared" si="1652"/>
        <v>0</v>
      </c>
      <c r="C1153" s="2">
        <f t="shared" si="1653"/>
        <v>0</v>
      </c>
      <c r="D1153" s="2">
        <f t="shared" si="1654"/>
        <v>0</v>
      </c>
      <c r="E1153" s="28">
        <f t="shared" ref="E1153" si="1667">ABS(MIN(D1120:D1134))</f>
        <v>1</v>
      </c>
      <c r="F1153" s="26"/>
      <c r="J1153" s="1">
        <f t="shared" ref="J1153" si="1668">J1149-1</f>
        <v>2</v>
      </c>
      <c r="N1153" s="1" t="s">
        <v>3</v>
      </c>
      <c r="O1153" s="1" t="s">
        <v>4</v>
      </c>
      <c r="P1153" s="1" t="s">
        <v>5</v>
      </c>
      <c r="S1153" s="1">
        <f t="shared" si="1641"/>
        <v>20</v>
      </c>
      <c r="T1153" s="1">
        <v>250</v>
      </c>
    </row>
    <row r="1154" spans="1:20" x14ac:dyDescent="0.3">
      <c r="A1154" s="1">
        <f t="shared" si="1582"/>
        <v>20251</v>
      </c>
      <c r="B1154" s="2">
        <f t="shared" si="1652"/>
        <v>0</v>
      </c>
      <c r="C1154" s="2">
        <f t="shared" si="1653"/>
        <v>0</v>
      </c>
      <c r="D1154" s="2">
        <f t="shared" si="1654"/>
        <v>0</v>
      </c>
      <c r="E1154" s="28">
        <f t="shared" ref="E1154" si="1669">ABS(MAX(D1120:D1134))</f>
        <v>1</v>
      </c>
      <c r="F1154" s="26"/>
      <c r="J1154" s="1" t="str">
        <f t="shared" ref="J1154" si="1670">CONCATENATE(J1153,"1")</f>
        <v>21</v>
      </c>
      <c r="N1154" s="1">
        <f t="array" ref="N1154:P1156">LINEST($B1120:$B1123,$C1120:$C1123^{1,2},TRUE,TRUE)</f>
        <v>-2.5409836400648814E-19</v>
      </c>
      <c r="O1154" s="1">
        <v>1.0000000000000004</v>
      </c>
      <c r="P1154" s="1">
        <v>0.99999999999980471</v>
      </c>
      <c r="S1154" s="1">
        <f t="shared" si="1641"/>
        <v>20</v>
      </c>
      <c r="T1154" s="1">
        <v>251</v>
      </c>
    </row>
    <row r="1155" spans="1:20" x14ac:dyDescent="0.3">
      <c r="A1155" s="1">
        <f t="shared" si="1582"/>
        <v>20252</v>
      </c>
      <c r="B1155" s="2">
        <f t="shared" si="1652"/>
        <v>0</v>
      </c>
      <c r="C1155" s="2">
        <f t="shared" si="1653"/>
        <v>0</v>
      </c>
      <c r="D1155" s="2">
        <f t="shared" si="1654"/>
        <v>0</v>
      </c>
      <c r="E1155" s="26"/>
      <c r="F1155" s="26"/>
      <c r="J1155" s="1" t="str">
        <f t="shared" ref="J1155" si="1671">CONCATENATE(J1153,"2")</f>
        <v>22</v>
      </c>
      <c r="N1155" s="1">
        <v>4.4408920985006192E-20</v>
      </c>
      <c r="O1155" s="1">
        <v>6.6643040034225153E-17</v>
      </c>
      <c r="P1155" s="1">
        <v>2.4543366914403813E-14</v>
      </c>
      <c r="S1155" s="1">
        <f t="shared" si="1641"/>
        <v>20</v>
      </c>
      <c r="T1155" s="1">
        <v>252</v>
      </c>
    </row>
    <row r="1156" spans="1:20" x14ac:dyDescent="0.3">
      <c r="A1156" s="1">
        <f t="shared" si="1582"/>
        <v>20253</v>
      </c>
      <c r="B1156" s="2">
        <f t="shared" si="1652"/>
        <v>0</v>
      </c>
      <c r="C1156" s="2">
        <f t="shared" si="1653"/>
        <v>0</v>
      </c>
      <c r="D1156" s="2">
        <f t="shared" si="1654"/>
        <v>0</v>
      </c>
      <c r="E1156" s="26"/>
      <c r="F1156" s="26"/>
      <c r="J1156" s="1" t="str">
        <f t="shared" ref="J1156" si="1672">CONCATENATE(J1153,"3")</f>
        <v>23</v>
      </c>
      <c r="N1156" s="1">
        <v>1</v>
      </c>
      <c r="O1156" s="1">
        <v>8.8817841970012523E-16</v>
      </c>
      <c r="P1156" s="1" t="e">
        <v>#N/A</v>
      </c>
      <c r="S1156" s="1">
        <f t="shared" si="1641"/>
        <v>20</v>
      </c>
      <c r="T1156" s="1">
        <v>253</v>
      </c>
    </row>
    <row r="1157" spans="1:20" x14ac:dyDescent="0.3">
      <c r="A1157" s="1">
        <f t="shared" si="1582"/>
        <v>20254</v>
      </c>
      <c r="B1157" s="2">
        <f t="shared" si="1652"/>
        <v>0</v>
      </c>
      <c r="C1157" s="2">
        <f t="shared" si="1653"/>
        <v>0</v>
      </c>
      <c r="D1157" s="2">
        <f t="shared" si="1654"/>
        <v>0</v>
      </c>
      <c r="E1157" s="26"/>
      <c r="F1157" s="26"/>
      <c r="J1157" s="1">
        <f t="shared" ref="J1157" si="1673">J1153-1</f>
        <v>1</v>
      </c>
      <c r="O1157" s="1" t="s">
        <v>4</v>
      </c>
      <c r="P1157" s="1" t="s">
        <v>5</v>
      </c>
      <c r="S1157" s="1">
        <f t="shared" si="1641"/>
        <v>20</v>
      </c>
      <c r="T1157" s="1">
        <v>254</v>
      </c>
    </row>
    <row r="1158" spans="1:20" x14ac:dyDescent="0.3">
      <c r="A1158" s="1">
        <f t="shared" si="1582"/>
        <v>20255</v>
      </c>
      <c r="B1158" s="2">
        <f t="shared" si="1652"/>
        <v>0</v>
      </c>
      <c r="C1158" s="2">
        <f t="shared" si="1653"/>
        <v>0</v>
      </c>
      <c r="D1158" s="2">
        <f t="shared" si="1654"/>
        <v>0</v>
      </c>
      <c r="E1158" s="26"/>
      <c r="F1158" s="26"/>
      <c r="J1158" s="1" t="str">
        <f t="shared" ref="J1158" si="1674">CONCATENATE(J1157,"1")</f>
        <v>11</v>
      </c>
      <c r="O1158" s="1">
        <f t="array" ref="O1158:P1160">LINEST($B1120:$B1122,$C1120:$C1122^{1},TRUE,TRUE)</f>
        <v>0.99999999999999978</v>
      </c>
      <c r="P1158" s="1">
        <v>1.0000000000001137</v>
      </c>
      <c r="S1158" s="1">
        <f t="shared" si="1641"/>
        <v>20</v>
      </c>
      <c r="T1158" s="1">
        <v>255</v>
      </c>
    </row>
    <row r="1159" spans="1:20" x14ac:dyDescent="0.3">
      <c r="A1159" s="1">
        <f t="shared" si="1582"/>
        <v>20256</v>
      </c>
      <c r="B1159" s="2">
        <f t="shared" si="1652"/>
        <v>0</v>
      </c>
      <c r="C1159" s="2">
        <f t="shared" si="1653"/>
        <v>0</v>
      </c>
      <c r="D1159" s="2">
        <f t="shared" si="1654"/>
        <v>0</v>
      </c>
      <c r="E1159" s="26"/>
      <c r="F1159" s="26"/>
      <c r="J1159" s="1" t="str">
        <f t="shared" ref="J1159" si="1675">CONCATENATE(J1157,"2")</f>
        <v>12</v>
      </c>
      <c r="O1159" s="1">
        <v>2.0097183471152324E-16</v>
      </c>
      <c r="P1159" s="1">
        <v>1.4143444330322192E-13</v>
      </c>
      <c r="S1159" s="1">
        <f t="shared" si="1641"/>
        <v>20</v>
      </c>
      <c r="T1159" s="1">
        <v>256</v>
      </c>
    </row>
    <row r="1160" spans="1:20" x14ac:dyDescent="0.3">
      <c r="A1160" s="1">
        <f t="shared" si="1582"/>
        <v>20257</v>
      </c>
      <c r="B1160" s="2">
        <f t="shared" si="1652"/>
        <v>0</v>
      </c>
      <c r="C1160" s="2">
        <f t="shared" si="1653"/>
        <v>0</v>
      </c>
      <c r="D1160" s="2">
        <f t="shared" si="1654"/>
        <v>0</v>
      </c>
      <c r="E1160" s="30"/>
      <c r="F1160" s="30"/>
      <c r="J1160" s="1" t="str">
        <f t="shared" ref="J1160" si="1676">CONCATENATE(J1157,"3")</f>
        <v>13</v>
      </c>
      <c r="O1160" s="1">
        <v>1</v>
      </c>
      <c r="P1160" s="1">
        <v>2.8421709430404007E-14</v>
      </c>
      <c r="S1160" s="1">
        <f t="shared" si="1641"/>
        <v>20</v>
      </c>
      <c r="T1160" s="1">
        <v>257</v>
      </c>
    </row>
    <row r="1161" spans="1:20" s="8" customFormat="1" x14ac:dyDescent="0.3"/>
  </sheetData>
  <sheetProtection algorithmName="SHA-512" hashValue="YKcZOc4QCK0sz0WcSveaJhVurIoieoXQZusjOEmSQM07h36zv614NH7TV1hJV9wIPX10tgaPGqk0sM3X+YEGyw==" saltValue="WGSqrKwN6rGwXVuIOL1VSg==" spinCount="100000" sheet="1" objects="1" scenarios="1"/>
  <mergeCells count="520">
    <mergeCell ref="B2:C2"/>
    <mergeCell ref="B4:C4"/>
    <mergeCell ref="B5:C5"/>
    <mergeCell ref="B36:H37"/>
    <mergeCell ref="D2:H2"/>
    <mergeCell ref="B3:H3"/>
    <mergeCell ref="D4:H4"/>
    <mergeCell ref="D5:H5"/>
    <mergeCell ref="D6:H6"/>
    <mergeCell ref="D7:H7"/>
    <mergeCell ref="D8:H8"/>
    <mergeCell ref="D9:H9"/>
    <mergeCell ref="E10:G10"/>
    <mergeCell ref="G13:H13"/>
    <mergeCell ref="F15:F16"/>
    <mergeCell ref="B14:D14"/>
    <mergeCell ref="B35:H35"/>
    <mergeCell ref="B9:C9"/>
    <mergeCell ref="B10:C10"/>
    <mergeCell ref="B11:C11"/>
    <mergeCell ref="B13:F13"/>
    <mergeCell ref="E14:F14"/>
    <mergeCell ref="B6:C6"/>
    <mergeCell ref="B7:C7"/>
    <mergeCell ref="B8:C8"/>
    <mergeCell ref="B119:H119"/>
    <mergeCell ref="D120:H120"/>
    <mergeCell ref="B121:C121"/>
    <mergeCell ref="D121:H121"/>
    <mergeCell ref="B72:D72"/>
    <mergeCell ref="B71:F71"/>
    <mergeCell ref="G71:H71"/>
    <mergeCell ref="E72:F72"/>
    <mergeCell ref="B42:D42"/>
    <mergeCell ref="F73:F74"/>
    <mergeCell ref="B93:H93"/>
    <mergeCell ref="B94:H95"/>
    <mergeCell ref="B100:D100"/>
    <mergeCell ref="B118:C118"/>
    <mergeCell ref="D118:H118"/>
    <mergeCell ref="B60:C60"/>
    <mergeCell ref="D60:H60"/>
    <mergeCell ref="B61:H61"/>
    <mergeCell ref="B62:C62"/>
    <mergeCell ref="D62:H62"/>
    <mergeCell ref="B66:C66"/>
    <mergeCell ref="B67:C67"/>
    <mergeCell ref="B68:C68"/>
    <mergeCell ref="B179:C179"/>
    <mergeCell ref="D179:H179"/>
    <mergeCell ref="B184:C184"/>
    <mergeCell ref="B123:C123"/>
    <mergeCell ref="B124:C124"/>
    <mergeCell ref="D122:H122"/>
    <mergeCell ref="D123:H123"/>
    <mergeCell ref="D124:H124"/>
    <mergeCell ref="B120:C120"/>
    <mergeCell ref="E130:F130"/>
    <mergeCell ref="F131:F132"/>
    <mergeCell ref="B151:H151"/>
    <mergeCell ref="B152:H153"/>
    <mergeCell ref="B158:D158"/>
    <mergeCell ref="B176:C176"/>
    <mergeCell ref="D176:H176"/>
    <mergeCell ref="B177:H177"/>
    <mergeCell ref="B178:C178"/>
    <mergeCell ref="B130:D130"/>
    <mergeCell ref="B180:C180"/>
    <mergeCell ref="D180:H180"/>
    <mergeCell ref="D181:H181"/>
    <mergeCell ref="D182:H182"/>
    <mergeCell ref="D178:H178"/>
    <mergeCell ref="B243:C243"/>
    <mergeCell ref="B245:F245"/>
    <mergeCell ref="G245:H245"/>
    <mergeCell ref="B240:C240"/>
    <mergeCell ref="B241:C241"/>
    <mergeCell ref="B242:C242"/>
    <mergeCell ref="E242:G242"/>
    <mergeCell ref="B187:F187"/>
    <mergeCell ref="G187:H187"/>
    <mergeCell ref="B188:D188"/>
    <mergeCell ref="D238:H238"/>
    <mergeCell ref="B239:C239"/>
    <mergeCell ref="D239:H239"/>
    <mergeCell ref="D240:H240"/>
    <mergeCell ref="D241:H241"/>
    <mergeCell ref="B238:C238"/>
    <mergeCell ref="D183:H183"/>
    <mergeCell ref="E184:G184"/>
    <mergeCell ref="B300:C300"/>
    <mergeCell ref="B301:C301"/>
    <mergeCell ref="E300:G300"/>
    <mergeCell ref="E246:F246"/>
    <mergeCell ref="B246:D246"/>
    <mergeCell ref="F247:F248"/>
    <mergeCell ref="B296:C296"/>
    <mergeCell ref="D296:H296"/>
    <mergeCell ref="D297:H297"/>
    <mergeCell ref="B298:C298"/>
    <mergeCell ref="D298:H298"/>
    <mergeCell ref="D299:H299"/>
    <mergeCell ref="B267:H267"/>
    <mergeCell ref="B268:H269"/>
    <mergeCell ref="B274:D274"/>
    <mergeCell ref="B292:C292"/>
    <mergeCell ref="D292:H292"/>
    <mergeCell ref="B293:H293"/>
    <mergeCell ref="B297:C297"/>
    <mergeCell ref="B294:C294"/>
    <mergeCell ref="D294:H294"/>
    <mergeCell ref="B295:C295"/>
    <mergeCell ref="D295:H295"/>
    <mergeCell ref="B359:C359"/>
    <mergeCell ref="E358:G358"/>
    <mergeCell ref="B356:C356"/>
    <mergeCell ref="F305:F306"/>
    <mergeCell ref="B357:C357"/>
    <mergeCell ref="D357:H357"/>
    <mergeCell ref="B354:C354"/>
    <mergeCell ref="D354:H354"/>
    <mergeCell ref="B355:C355"/>
    <mergeCell ref="D355:H355"/>
    <mergeCell ref="D356:H356"/>
    <mergeCell ref="B325:H325"/>
    <mergeCell ref="B326:H327"/>
    <mergeCell ref="B332:D332"/>
    <mergeCell ref="B350:C350"/>
    <mergeCell ref="D350:H350"/>
    <mergeCell ref="B351:H351"/>
    <mergeCell ref="B352:C352"/>
    <mergeCell ref="D352:H352"/>
    <mergeCell ref="B358:C358"/>
    <mergeCell ref="D473:H473"/>
    <mergeCell ref="E474:G474"/>
    <mergeCell ref="B475:C475"/>
    <mergeCell ref="B477:F477"/>
    <mergeCell ref="G477:H477"/>
    <mergeCell ref="B470:C470"/>
    <mergeCell ref="D470:H470"/>
    <mergeCell ref="B471:C471"/>
    <mergeCell ref="F363:F364"/>
    <mergeCell ref="B468:C468"/>
    <mergeCell ref="D468:H468"/>
    <mergeCell ref="B469:C469"/>
    <mergeCell ref="D469:H469"/>
    <mergeCell ref="F421:F422"/>
    <mergeCell ref="B441:H441"/>
    <mergeCell ref="B442:H443"/>
    <mergeCell ref="B448:D448"/>
    <mergeCell ref="B466:C466"/>
    <mergeCell ref="D466:H466"/>
    <mergeCell ref="B467:H467"/>
    <mergeCell ref="B412:C412"/>
    <mergeCell ref="D412:H412"/>
    <mergeCell ref="B413:C413"/>
    <mergeCell ref="D413:H413"/>
    <mergeCell ref="B594:D594"/>
    <mergeCell ref="E594:F594"/>
    <mergeCell ref="F595:F596"/>
    <mergeCell ref="B584:C584"/>
    <mergeCell ref="D584:H584"/>
    <mergeCell ref="B585:C585"/>
    <mergeCell ref="D585:H585"/>
    <mergeCell ref="F537:F538"/>
    <mergeCell ref="B536:D536"/>
    <mergeCell ref="E536:F536"/>
    <mergeCell ref="B557:H557"/>
    <mergeCell ref="B558:H559"/>
    <mergeCell ref="B564:D564"/>
    <mergeCell ref="B582:C582"/>
    <mergeCell ref="D582:H582"/>
    <mergeCell ref="B583:H583"/>
    <mergeCell ref="B590:C590"/>
    <mergeCell ref="E590:G590"/>
    <mergeCell ref="B591:C591"/>
    <mergeCell ref="B593:F593"/>
    <mergeCell ref="G593:H593"/>
    <mergeCell ref="B758:C758"/>
    <mergeCell ref="D758:H758"/>
    <mergeCell ref="B759:C759"/>
    <mergeCell ref="D759:H759"/>
    <mergeCell ref="B698:C698"/>
    <mergeCell ref="D698:H698"/>
    <mergeCell ref="B699:H699"/>
    <mergeCell ref="B700:C700"/>
    <mergeCell ref="B642:C642"/>
    <mergeCell ref="D642:H642"/>
    <mergeCell ref="B643:C643"/>
    <mergeCell ref="D643:H643"/>
    <mergeCell ref="B644:C644"/>
    <mergeCell ref="D644:H644"/>
    <mergeCell ref="B645:C645"/>
    <mergeCell ref="D645:H645"/>
    <mergeCell ref="B646:C646"/>
    <mergeCell ref="D646:H646"/>
    <mergeCell ref="B673:H673"/>
    <mergeCell ref="B674:H675"/>
    <mergeCell ref="B680:D680"/>
    <mergeCell ref="B704:C704"/>
    <mergeCell ref="D704:H704"/>
    <mergeCell ref="B705:C705"/>
    <mergeCell ref="B990:C990"/>
    <mergeCell ref="D990:H990"/>
    <mergeCell ref="B991:C991"/>
    <mergeCell ref="D991:H991"/>
    <mergeCell ref="B930:C930"/>
    <mergeCell ref="D930:H930"/>
    <mergeCell ref="B931:H931"/>
    <mergeCell ref="B932:C932"/>
    <mergeCell ref="B874:C874"/>
    <mergeCell ref="D874:H874"/>
    <mergeCell ref="B875:C875"/>
    <mergeCell ref="D875:H875"/>
    <mergeCell ref="B876:C876"/>
    <mergeCell ref="D876:H876"/>
    <mergeCell ref="B877:C877"/>
    <mergeCell ref="D877:H877"/>
    <mergeCell ref="B878:C878"/>
    <mergeCell ref="D878:H878"/>
    <mergeCell ref="B905:H905"/>
    <mergeCell ref="B906:H907"/>
    <mergeCell ref="B912:D912"/>
    <mergeCell ref="B936:C936"/>
    <mergeCell ref="D936:H936"/>
    <mergeCell ref="B937:C937"/>
    <mergeCell ref="D66:H66"/>
    <mergeCell ref="D67:H67"/>
    <mergeCell ref="E68:G68"/>
    <mergeCell ref="B63:C63"/>
    <mergeCell ref="B64:C64"/>
    <mergeCell ref="B65:C65"/>
    <mergeCell ref="D63:H63"/>
    <mergeCell ref="D64:H64"/>
    <mergeCell ref="D65:H65"/>
    <mergeCell ref="B69:C69"/>
    <mergeCell ref="B125:C125"/>
    <mergeCell ref="B126:C126"/>
    <mergeCell ref="B127:C127"/>
    <mergeCell ref="D125:H125"/>
    <mergeCell ref="E126:G126"/>
    <mergeCell ref="B122:C122"/>
    <mergeCell ref="D237:H237"/>
    <mergeCell ref="E188:F188"/>
    <mergeCell ref="F189:F190"/>
    <mergeCell ref="B209:H209"/>
    <mergeCell ref="B210:H211"/>
    <mergeCell ref="B216:D216"/>
    <mergeCell ref="B234:C234"/>
    <mergeCell ref="D234:H234"/>
    <mergeCell ref="B235:H235"/>
    <mergeCell ref="B236:C236"/>
    <mergeCell ref="D236:H236"/>
    <mergeCell ref="B237:C237"/>
    <mergeCell ref="B185:C185"/>
    <mergeCell ref="B181:C181"/>
    <mergeCell ref="B182:C182"/>
    <mergeCell ref="B183:C183"/>
    <mergeCell ref="B129:F129"/>
    <mergeCell ref="G129:H129"/>
    <mergeCell ref="B353:C353"/>
    <mergeCell ref="D353:H353"/>
    <mergeCell ref="B303:F303"/>
    <mergeCell ref="G303:H303"/>
    <mergeCell ref="B304:D304"/>
    <mergeCell ref="E304:F304"/>
    <mergeCell ref="B299:C299"/>
    <mergeCell ref="B414:C414"/>
    <mergeCell ref="D414:H414"/>
    <mergeCell ref="B383:H383"/>
    <mergeCell ref="B384:H385"/>
    <mergeCell ref="B390:D390"/>
    <mergeCell ref="B408:C408"/>
    <mergeCell ref="D408:H408"/>
    <mergeCell ref="B409:H409"/>
    <mergeCell ref="B410:C410"/>
    <mergeCell ref="D410:H410"/>
    <mergeCell ref="B411:C411"/>
    <mergeCell ref="D411:H411"/>
    <mergeCell ref="B361:F361"/>
    <mergeCell ref="G361:H361"/>
    <mergeCell ref="B362:D362"/>
    <mergeCell ref="E362:F362"/>
    <mergeCell ref="D415:H415"/>
    <mergeCell ref="B416:C416"/>
    <mergeCell ref="E416:G416"/>
    <mergeCell ref="B419:F419"/>
    <mergeCell ref="G419:H419"/>
    <mergeCell ref="B420:D420"/>
    <mergeCell ref="E420:F420"/>
    <mergeCell ref="B417:C417"/>
    <mergeCell ref="B415:C415"/>
    <mergeCell ref="D471:H471"/>
    <mergeCell ref="B472:C472"/>
    <mergeCell ref="D472:H472"/>
    <mergeCell ref="B528:C528"/>
    <mergeCell ref="D528:H528"/>
    <mergeCell ref="B529:C529"/>
    <mergeCell ref="D529:H529"/>
    <mergeCell ref="B530:C530"/>
    <mergeCell ref="D530:H530"/>
    <mergeCell ref="B499:H499"/>
    <mergeCell ref="B500:H501"/>
    <mergeCell ref="B506:D506"/>
    <mergeCell ref="B524:C524"/>
    <mergeCell ref="D524:H524"/>
    <mergeCell ref="B525:H525"/>
    <mergeCell ref="B526:C526"/>
    <mergeCell ref="D526:H526"/>
    <mergeCell ref="B527:C527"/>
    <mergeCell ref="D527:H527"/>
    <mergeCell ref="F479:F480"/>
    <mergeCell ref="B478:D478"/>
    <mergeCell ref="E478:F478"/>
    <mergeCell ref="B474:C474"/>
    <mergeCell ref="B473:C473"/>
    <mergeCell ref="B531:C531"/>
    <mergeCell ref="D531:H531"/>
    <mergeCell ref="B532:C532"/>
    <mergeCell ref="E532:G532"/>
    <mergeCell ref="B535:F535"/>
    <mergeCell ref="G535:H535"/>
    <mergeCell ref="B533:C533"/>
    <mergeCell ref="B589:C589"/>
    <mergeCell ref="D589:H589"/>
    <mergeCell ref="B586:C586"/>
    <mergeCell ref="D586:H586"/>
    <mergeCell ref="B587:C587"/>
    <mergeCell ref="D587:H587"/>
    <mergeCell ref="B588:C588"/>
    <mergeCell ref="D588:H588"/>
    <mergeCell ref="B615:H615"/>
    <mergeCell ref="B616:H617"/>
    <mergeCell ref="B622:D622"/>
    <mergeCell ref="B640:C640"/>
    <mergeCell ref="D640:H640"/>
    <mergeCell ref="B641:H641"/>
    <mergeCell ref="B652:D652"/>
    <mergeCell ref="E652:F652"/>
    <mergeCell ref="F653:F654"/>
    <mergeCell ref="B647:C647"/>
    <mergeCell ref="D647:H647"/>
    <mergeCell ref="B648:C648"/>
    <mergeCell ref="E648:G648"/>
    <mergeCell ref="B649:C649"/>
    <mergeCell ref="B651:F651"/>
    <mergeCell ref="G651:H651"/>
    <mergeCell ref="D705:H705"/>
    <mergeCell ref="B706:C706"/>
    <mergeCell ref="E706:G706"/>
    <mergeCell ref="D700:H700"/>
    <mergeCell ref="B701:C701"/>
    <mergeCell ref="D701:H701"/>
    <mergeCell ref="B702:C702"/>
    <mergeCell ref="D702:H702"/>
    <mergeCell ref="B703:C703"/>
    <mergeCell ref="D703:H703"/>
    <mergeCell ref="B731:H731"/>
    <mergeCell ref="B732:H733"/>
    <mergeCell ref="B738:D738"/>
    <mergeCell ref="B756:C756"/>
    <mergeCell ref="D756:H756"/>
    <mergeCell ref="B757:H757"/>
    <mergeCell ref="B707:C707"/>
    <mergeCell ref="B709:F709"/>
    <mergeCell ref="G709:H709"/>
    <mergeCell ref="B710:D710"/>
    <mergeCell ref="E710:F710"/>
    <mergeCell ref="F711:F712"/>
    <mergeCell ref="B763:C763"/>
    <mergeCell ref="D763:H763"/>
    <mergeCell ref="B764:C764"/>
    <mergeCell ref="E764:G764"/>
    <mergeCell ref="B765:C765"/>
    <mergeCell ref="B767:F767"/>
    <mergeCell ref="G767:H767"/>
    <mergeCell ref="B760:C760"/>
    <mergeCell ref="D760:H760"/>
    <mergeCell ref="B761:C761"/>
    <mergeCell ref="D761:H761"/>
    <mergeCell ref="B762:C762"/>
    <mergeCell ref="D762:H762"/>
    <mergeCell ref="D816:H816"/>
    <mergeCell ref="B817:C817"/>
    <mergeCell ref="D817:H817"/>
    <mergeCell ref="B818:C818"/>
    <mergeCell ref="D818:H818"/>
    <mergeCell ref="B819:C819"/>
    <mergeCell ref="D819:H819"/>
    <mergeCell ref="B768:D768"/>
    <mergeCell ref="E768:F768"/>
    <mergeCell ref="F769:F770"/>
    <mergeCell ref="B789:H789"/>
    <mergeCell ref="B790:H791"/>
    <mergeCell ref="B796:D796"/>
    <mergeCell ref="B814:C814"/>
    <mergeCell ref="D814:H814"/>
    <mergeCell ref="B815:H815"/>
    <mergeCell ref="B816:C816"/>
    <mergeCell ref="B823:C823"/>
    <mergeCell ref="B825:F825"/>
    <mergeCell ref="G825:H825"/>
    <mergeCell ref="B826:D826"/>
    <mergeCell ref="E826:F826"/>
    <mergeCell ref="F827:F828"/>
    <mergeCell ref="B820:C820"/>
    <mergeCell ref="D820:H820"/>
    <mergeCell ref="B821:C821"/>
    <mergeCell ref="D821:H821"/>
    <mergeCell ref="B822:C822"/>
    <mergeCell ref="E822:G822"/>
    <mergeCell ref="B847:H847"/>
    <mergeCell ref="B848:H849"/>
    <mergeCell ref="B854:D854"/>
    <mergeCell ref="B872:C872"/>
    <mergeCell ref="D872:H872"/>
    <mergeCell ref="B873:H873"/>
    <mergeCell ref="B884:D884"/>
    <mergeCell ref="E884:F884"/>
    <mergeCell ref="F885:F886"/>
    <mergeCell ref="B879:C879"/>
    <mergeCell ref="D879:H879"/>
    <mergeCell ref="B880:C880"/>
    <mergeCell ref="E880:G880"/>
    <mergeCell ref="B881:C881"/>
    <mergeCell ref="B883:F883"/>
    <mergeCell ref="G883:H883"/>
    <mergeCell ref="D937:H937"/>
    <mergeCell ref="B938:C938"/>
    <mergeCell ref="E938:G938"/>
    <mergeCell ref="D932:H932"/>
    <mergeCell ref="B933:C933"/>
    <mergeCell ref="D933:H933"/>
    <mergeCell ref="B934:C934"/>
    <mergeCell ref="D934:H934"/>
    <mergeCell ref="B935:C935"/>
    <mergeCell ref="D935:H935"/>
    <mergeCell ref="B963:H963"/>
    <mergeCell ref="B964:H965"/>
    <mergeCell ref="B970:D970"/>
    <mergeCell ref="B988:C988"/>
    <mergeCell ref="D988:H988"/>
    <mergeCell ref="B989:H989"/>
    <mergeCell ref="B939:C939"/>
    <mergeCell ref="B941:F941"/>
    <mergeCell ref="G941:H941"/>
    <mergeCell ref="B942:D942"/>
    <mergeCell ref="E942:F942"/>
    <mergeCell ref="F943:F944"/>
    <mergeCell ref="B995:C995"/>
    <mergeCell ref="D995:H995"/>
    <mergeCell ref="B996:C996"/>
    <mergeCell ref="E996:G996"/>
    <mergeCell ref="B997:C997"/>
    <mergeCell ref="B999:F999"/>
    <mergeCell ref="G999:H999"/>
    <mergeCell ref="B992:C992"/>
    <mergeCell ref="D992:H992"/>
    <mergeCell ref="B993:C993"/>
    <mergeCell ref="D993:H993"/>
    <mergeCell ref="B994:C994"/>
    <mergeCell ref="D994:H994"/>
    <mergeCell ref="D1048:H1048"/>
    <mergeCell ref="B1049:C1049"/>
    <mergeCell ref="D1049:H1049"/>
    <mergeCell ref="B1050:C1050"/>
    <mergeCell ref="D1050:H1050"/>
    <mergeCell ref="B1051:C1051"/>
    <mergeCell ref="D1051:H1051"/>
    <mergeCell ref="B1000:D1000"/>
    <mergeCell ref="E1000:F1000"/>
    <mergeCell ref="F1001:F1002"/>
    <mergeCell ref="B1021:H1021"/>
    <mergeCell ref="B1022:H1023"/>
    <mergeCell ref="B1028:D1028"/>
    <mergeCell ref="B1046:C1046"/>
    <mergeCell ref="D1046:H1046"/>
    <mergeCell ref="B1047:H1047"/>
    <mergeCell ref="B1048:C1048"/>
    <mergeCell ref="B1055:C1055"/>
    <mergeCell ref="B1057:F1057"/>
    <mergeCell ref="G1057:H1057"/>
    <mergeCell ref="B1058:D1058"/>
    <mergeCell ref="E1058:F1058"/>
    <mergeCell ref="F1059:F1060"/>
    <mergeCell ref="B1052:C1052"/>
    <mergeCell ref="D1052:H1052"/>
    <mergeCell ref="B1053:C1053"/>
    <mergeCell ref="D1053:H1053"/>
    <mergeCell ref="B1054:C1054"/>
    <mergeCell ref="E1054:G1054"/>
    <mergeCell ref="B1108:C1108"/>
    <mergeCell ref="D1108:H1108"/>
    <mergeCell ref="B1109:C1109"/>
    <mergeCell ref="D1109:H1109"/>
    <mergeCell ref="B1110:C1110"/>
    <mergeCell ref="D1110:H1110"/>
    <mergeCell ref="B1079:H1079"/>
    <mergeCell ref="B1080:H1081"/>
    <mergeCell ref="B1086:D1086"/>
    <mergeCell ref="B1104:C1104"/>
    <mergeCell ref="D1104:H1104"/>
    <mergeCell ref="B1105:H1105"/>
    <mergeCell ref="B1106:C1106"/>
    <mergeCell ref="D1106:H1106"/>
    <mergeCell ref="B1107:C1107"/>
    <mergeCell ref="D1107:H1107"/>
    <mergeCell ref="B1116:D1116"/>
    <mergeCell ref="E1116:F1116"/>
    <mergeCell ref="F1117:F1118"/>
    <mergeCell ref="B1137:H1137"/>
    <mergeCell ref="B1138:H1139"/>
    <mergeCell ref="B1144:D1144"/>
    <mergeCell ref="B1111:C1111"/>
    <mergeCell ref="D1111:H1111"/>
    <mergeCell ref="B1112:C1112"/>
    <mergeCell ref="E1112:G1112"/>
    <mergeCell ref="B1113:C1113"/>
    <mergeCell ref="B1115:F1115"/>
    <mergeCell ref="G1115:H1115"/>
  </mergeCells>
  <dataValidations disablePrompts="1" count="1">
    <dataValidation type="list" allowBlank="1" showInputMessage="1" showErrorMessage="1" sqref="H10 H590 H126 H184 H648 H242 H1054 H416 H474 H358 H822 H532 H300 H706 H938 H880 H996 H764 H1112 H68" xr:uid="{A19277DF-DBF2-46E7-8F97-46E804D1BA8A}">
      <formula1>$V$2:$V$44</formula1>
    </dataValidation>
  </dataValidation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C26"/>
  <sheetViews>
    <sheetView tabSelected="1" workbookViewId="0"/>
  </sheetViews>
  <sheetFormatPr defaultColWidth="21.5546875" defaultRowHeight="14.4" x14ac:dyDescent="0.3"/>
  <cols>
    <col min="1" max="1" width="3" style="10" bestFit="1" customWidth="1"/>
    <col min="2" max="2" width="11.44140625" style="10" bestFit="1" customWidth="1"/>
    <col min="3" max="3" width="43.109375" style="10" customWidth="1"/>
    <col min="4" max="15" width="17.5546875" style="10" customWidth="1"/>
    <col min="16" max="81" width="8.5546875" style="10" customWidth="1"/>
    <col min="82" max="16384" width="21.5546875" style="10"/>
  </cols>
  <sheetData>
    <row r="1" spans="1:81" x14ac:dyDescent="0.3">
      <c r="B1" s="10">
        <v>4</v>
      </c>
      <c r="C1" s="10">
        <v>4</v>
      </c>
      <c r="D1" s="10">
        <v>4</v>
      </c>
      <c r="E1" s="10">
        <v>4</v>
      </c>
      <c r="F1" s="10">
        <v>4</v>
      </c>
      <c r="G1" s="10">
        <v>4</v>
      </c>
      <c r="H1" s="10">
        <v>4</v>
      </c>
      <c r="I1" s="10">
        <v>8</v>
      </c>
      <c r="J1" s="10">
        <v>4</v>
      </c>
      <c r="K1" s="10">
        <v>6</v>
      </c>
      <c r="L1" s="10">
        <v>4</v>
      </c>
      <c r="M1" s="10">
        <v>5</v>
      </c>
      <c r="N1" s="10">
        <v>5</v>
      </c>
      <c r="O1" s="10">
        <v>5</v>
      </c>
      <c r="P1" s="10">
        <v>11</v>
      </c>
      <c r="Q1" s="10">
        <v>11</v>
      </c>
      <c r="R1" s="10">
        <v>13</v>
      </c>
      <c r="S1" s="10">
        <v>14</v>
      </c>
      <c r="T1" s="10">
        <v>15</v>
      </c>
      <c r="U1" s="10">
        <v>16</v>
      </c>
      <c r="V1" s="10">
        <v>2</v>
      </c>
      <c r="W1" s="10">
        <v>4</v>
      </c>
      <c r="X1" s="10">
        <v>5</v>
      </c>
      <c r="Y1" s="10">
        <v>6</v>
      </c>
      <c r="Z1" s="10">
        <v>2</v>
      </c>
      <c r="AA1" s="10">
        <v>4</v>
      </c>
      <c r="AB1" s="10">
        <v>5</v>
      </c>
      <c r="AC1" s="10">
        <v>6</v>
      </c>
      <c r="AD1" s="10">
        <v>2</v>
      </c>
      <c r="AE1" s="10">
        <v>4</v>
      </c>
      <c r="AF1" s="10">
        <v>5</v>
      </c>
      <c r="AG1" s="10">
        <v>6</v>
      </c>
      <c r="AH1" s="10">
        <v>2</v>
      </c>
      <c r="AI1" s="10">
        <v>4</v>
      </c>
      <c r="AJ1" s="10">
        <v>5</v>
      </c>
      <c r="AK1" s="10">
        <v>6</v>
      </c>
      <c r="AL1" s="10">
        <v>2</v>
      </c>
      <c r="AM1" s="10">
        <v>4</v>
      </c>
      <c r="AN1" s="10">
        <v>5</v>
      </c>
      <c r="AO1" s="10">
        <v>6</v>
      </c>
      <c r="AP1" s="10">
        <v>2</v>
      </c>
      <c r="AQ1" s="10">
        <v>4</v>
      </c>
      <c r="AR1" s="10">
        <v>5</v>
      </c>
      <c r="AS1" s="10">
        <v>6</v>
      </c>
      <c r="AT1" s="10">
        <v>2</v>
      </c>
      <c r="AU1" s="10">
        <v>4</v>
      </c>
      <c r="AV1" s="10">
        <v>5</v>
      </c>
      <c r="AW1" s="10">
        <v>6</v>
      </c>
      <c r="AX1" s="10">
        <v>2</v>
      </c>
      <c r="AY1" s="10">
        <v>4</v>
      </c>
      <c r="AZ1" s="10">
        <v>5</v>
      </c>
      <c r="BA1" s="10">
        <v>6</v>
      </c>
      <c r="BB1" s="10">
        <v>2</v>
      </c>
      <c r="BC1" s="10">
        <v>4</v>
      </c>
      <c r="BD1" s="10">
        <v>5</v>
      </c>
      <c r="BE1" s="10">
        <v>6</v>
      </c>
      <c r="BF1" s="10">
        <v>2</v>
      </c>
      <c r="BG1" s="10">
        <v>4</v>
      </c>
      <c r="BH1" s="10">
        <v>5</v>
      </c>
      <c r="BI1" s="10">
        <v>6</v>
      </c>
      <c r="BJ1" s="10">
        <v>2</v>
      </c>
      <c r="BK1" s="10">
        <v>4</v>
      </c>
      <c r="BL1" s="10">
        <v>5</v>
      </c>
      <c r="BM1" s="10">
        <v>6</v>
      </c>
      <c r="BN1" s="10">
        <v>2</v>
      </c>
      <c r="BO1" s="10">
        <v>4</v>
      </c>
      <c r="BP1" s="10">
        <v>5</v>
      </c>
      <c r="BQ1" s="10">
        <v>6</v>
      </c>
      <c r="BR1" s="10">
        <v>2</v>
      </c>
      <c r="BS1" s="10">
        <v>4</v>
      </c>
      <c r="BT1" s="10">
        <v>5</v>
      </c>
      <c r="BU1" s="10">
        <v>6</v>
      </c>
      <c r="BV1" s="10">
        <v>2</v>
      </c>
      <c r="BW1" s="10">
        <v>4</v>
      </c>
      <c r="BX1" s="10">
        <v>5</v>
      </c>
      <c r="BY1" s="10">
        <v>6</v>
      </c>
      <c r="BZ1" s="10">
        <v>2</v>
      </c>
      <c r="CA1" s="10">
        <v>4</v>
      </c>
      <c r="CB1" s="10">
        <v>5</v>
      </c>
      <c r="CC1" s="10">
        <v>6</v>
      </c>
    </row>
    <row r="2" spans="1:81" x14ac:dyDescent="0.3">
      <c r="B2" s="10">
        <v>203</v>
      </c>
      <c r="C2" s="10">
        <v>201</v>
      </c>
      <c r="D2" s="10">
        <v>204</v>
      </c>
      <c r="E2" s="10">
        <v>205</v>
      </c>
      <c r="F2" s="10">
        <v>206</v>
      </c>
      <c r="G2" s="10">
        <v>207</v>
      </c>
      <c r="H2" s="10">
        <v>208</v>
      </c>
      <c r="I2" s="10">
        <v>209</v>
      </c>
      <c r="J2" s="10">
        <v>210</v>
      </c>
      <c r="K2" s="10">
        <v>210</v>
      </c>
      <c r="L2" s="10">
        <v>209</v>
      </c>
      <c r="M2" s="10">
        <v>245</v>
      </c>
      <c r="N2" s="10">
        <v>249</v>
      </c>
      <c r="O2" s="10">
        <v>241</v>
      </c>
      <c r="P2" s="10">
        <v>203</v>
      </c>
      <c r="Q2" s="10">
        <v>205</v>
      </c>
      <c r="R2" s="10">
        <v>203</v>
      </c>
      <c r="S2" s="10">
        <v>203</v>
      </c>
      <c r="T2" s="10">
        <v>203</v>
      </c>
      <c r="U2" s="10">
        <v>203</v>
      </c>
      <c r="V2" s="10">
        <v>217</v>
      </c>
      <c r="W2" s="10">
        <f t="shared" ref="W2:Y3" si="0">V2</f>
        <v>217</v>
      </c>
      <c r="X2" s="10">
        <f t="shared" si="0"/>
        <v>217</v>
      </c>
      <c r="Y2" s="10">
        <f t="shared" si="0"/>
        <v>217</v>
      </c>
      <c r="Z2" s="10">
        <f>Y2+1</f>
        <v>218</v>
      </c>
      <c r="AA2" s="10">
        <f>Z2</f>
        <v>218</v>
      </c>
      <c r="AB2" s="10">
        <f>AA2</f>
        <v>218</v>
      </c>
      <c r="AC2" s="10">
        <f t="shared" ref="AC2:AO3" si="1">AB2</f>
        <v>218</v>
      </c>
      <c r="AD2" s="10">
        <f>AC2+1</f>
        <v>219</v>
      </c>
      <c r="AE2" s="10">
        <f>AD2</f>
        <v>219</v>
      </c>
      <c r="AF2" s="10">
        <f>AE2</f>
        <v>219</v>
      </c>
      <c r="AG2" s="10">
        <f t="shared" si="1"/>
        <v>219</v>
      </c>
      <c r="AH2" s="10">
        <f>AG2+1</f>
        <v>220</v>
      </c>
      <c r="AI2" s="10">
        <f>AH2</f>
        <v>220</v>
      </c>
      <c r="AJ2" s="10">
        <f>AI2</f>
        <v>220</v>
      </c>
      <c r="AK2" s="10">
        <f t="shared" si="1"/>
        <v>220</v>
      </c>
      <c r="AL2" s="10">
        <f>AK2+1</f>
        <v>221</v>
      </c>
      <c r="AM2" s="10">
        <f>AL2</f>
        <v>221</v>
      </c>
      <c r="AN2" s="10">
        <f>AM2</f>
        <v>221</v>
      </c>
      <c r="AO2" s="10">
        <f t="shared" si="1"/>
        <v>221</v>
      </c>
      <c r="AP2" s="10">
        <f>AO2+1</f>
        <v>222</v>
      </c>
      <c r="AQ2" s="10">
        <f>AP2</f>
        <v>222</v>
      </c>
      <c r="AR2" s="10">
        <f>AQ2</f>
        <v>222</v>
      </c>
      <c r="AS2" s="10">
        <f t="shared" ref="AS2:AS3" si="2">AR2</f>
        <v>222</v>
      </c>
      <c r="AT2" s="10">
        <f>AS2+1</f>
        <v>223</v>
      </c>
      <c r="AU2" s="10">
        <f>AT2</f>
        <v>223</v>
      </c>
      <c r="AV2" s="10">
        <f>AU2</f>
        <v>223</v>
      </c>
      <c r="AW2" s="10">
        <f t="shared" ref="AW2:AW3" si="3">AV2</f>
        <v>223</v>
      </c>
      <c r="AX2" s="10">
        <f>AW2+1</f>
        <v>224</v>
      </c>
      <c r="AY2" s="10">
        <f>AX2</f>
        <v>224</v>
      </c>
      <c r="AZ2" s="10">
        <f>AY2</f>
        <v>224</v>
      </c>
      <c r="BA2" s="10">
        <f t="shared" ref="BA2:BA3" si="4">AZ2</f>
        <v>224</v>
      </c>
      <c r="BB2" s="10">
        <f>BA2+1</f>
        <v>225</v>
      </c>
      <c r="BC2" s="10">
        <f>BB2</f>
        <v>225</v>
      </c>
      <c r="BD2" s="10">
        <f>BC2</f>
        <v>225</v>
      </c>
      <c r="BE2" s="10">
        <f t="shared" ref="BE2:BE3" si="5">BD2</f>
        <v>225</v>
      </c>
      <c r="BF2" s="10">
        <f>BE2+1</f>
        <v>226</v>
      </c>
      <c r="BG2" s="10">
        <f>BF2</f>
        <v>226</v>
      </c>
      <c r="BH2" s="10">
        <f>BG2</f>
        <v>226</v>
      </c>
      <c r="BI2" s="10">
        <f t="shared" ref="BI2:BI3" si="6">BH2</f>
        <v>226</v>
      </c>
      <c r="BJ2" s="10">
        <f>BI2+1</f>
        <v>227</v>
      </c>
      <c r="BK2" s="10">
        <f>BJ2</f>
        <v>227</v>
      </c>
      <c r="BL2" s="10">
        <f>BK2</f>
        <v>227</v>
      </c>
      <c r="BM2" s="10">
        <f t="shared" ref="BM2:BM3" si="7">BL2</f>
        <v>227</v>
      </c>
      <c r="BN2" s="10">
        <f>BM2+1</f>
        <v>228</v>
      </c>
      <c r="BO2" s="10">
        <f>BN2</f>
        <v>228</v>
      </c>
      <c r="BP2" s="10">
        <f>BO2</f>
        <v>228</v>
      </c>
      <c r="BQ2" s="10">
        <f t="shared" ref="BQ2:BQ3" si="8">BP2</f>
        <v>228</v>
      </c>
      <c r="BR2" s="10">
        <f>BQ2+1</f>
        <v>229</v>
      </c>
      <c r="BS2" s="10">
        <f>BR2</f>
        <v>229</v>
      </c>
      <c r="BT2" s="10">
        <f>BS2</f>
        <v>229</v>
      </c>
      <c r="BU2" s="10">
        <f t="shared" ref="BU2:BU3" si="9">BT2</f>
        <v>229</v>
      </c>
      <c r="BV2" s="10">
        <f>BU2+1</f>
        <v>230</v>
      </c>
      <c r="BW2" s="10">
        <f>BV2</f>
        <v>230</v>
      </c>
      <c r="BX2" s="10">
        <f>BW2</f>
        <v>230</v>
      </c>
      <c r="BY2" s="10">
        <f t="shared" ref="BY2:BY3" si="10">BX2</f>
        <v>230</v>
      </c>
      <c r="BZ2" s="10">
        <f>BY2+1</f>
        <v>231</v>
      </c>
      <c r="CA2" s="10">
        <f>BZ2</f>
        <v>231</v>
      </c>
      <c r="CB2" s="10">
        <f>CA2</f>
        <v>231</v>
      </c>
      <c r="CC2" s="10">
        <f t="shared" ref="CC2:CC3" si="11">CB2</f>
        <v>231</v>
      </c>
    </row>
    <row r="3" spans="1:81" x14ac:dyDescent="0.3">
      <c r="V3" s="10">
        <v>1</v>
      </c>
      <c r="W3" s="10">
        <f t="shared" si="0"/>
        <v>1</v>
      </c>
      <c r="X3" s="10">
        <f t="shared" si="0"/>
        <v>1</v>
      </c>
      <c r="Y3" s="10">
        <f t="shared" si="0"/>
        <v>1</v>
      </c>
      <c r="Z3" s="10">
        <f>Y3+1</f>
        <v>2</v>
      </c>
      <c r="AA3" s="10">
        <f>Z3</f>
        <v>2</v>
      </c>
      <c r="AB3" s="10">
        <f>AA3</f>
        <v>2</v>
      </c>
      <c r="AC3" s="10">
        <f t="shared" si="1"/>
        <v>2</v>
      </c>
      <c r="AD3" s="10">
        <f>AC3+1</f>
        <v>3</v>
      </c>
      <c r="AE3" s="10">
        <f>AD3</f>
        <v>3</v>
      </c>
      <c r="AF3" s="10">
        <f>AE3</f>
        <v>3</v>
      </c>
      <c r="AG3" s="10">
        <f t="shared" si="1"/>
        <v>3</v>
      </c>
      <c r="AH3" s="10">
        <f>AG3+1</f>
        <v>4</v>
      </c>
      <c r="AI3" s="10">
        <f>AH3</f>
        <v>4</v>
      </c>
      <c r="AJ3" s="10">
        <f>AI3</f>
        <v>4</v>
      </c>
      <c r="AK3" s="10">
        <f t="shared" si="1"/>
        <v>4</v>
      </c>
      <c r="AL3" s="10">
        <f>AK3+1</f>
        <v>5</v>
      </c>
      <c r="AM3" s="10">
        <f>AL3</f>
        <v>5</v>
      </c>
      <c r="AN3" s="10">
        <f>AM3</f>
        <v>5</v>
      </c>
      <c r="AO3" s="10">
        <f t="shared" si="1"/>
        <v>5</v>
      </c>
      <c r="AP3" s="10">
        <f>AO3+1</f>
        <v>6</v>
      </c>
      <c r="AQ3" s="10">
        <f>AP3</f>
        <v>6</v>
      </c>
      <c r="AR3" s="10">
        <f>AQ3</f>
        <v>6</v>
      </c>
      <c r="AS3" s="10">
        <f t="shared" si="2"/>
        <v>6</v>
      </c>
      <c r="AT3" s="10">
        <f>AS3+1</f>
        <v>7</v>
      </c>
      <c r="AU3" s="10">
        <f>AT3</f>
        <v>7</v>
      </c>
      <c r="AV3" s="10">
        <f>AU3</f>
        <v>7</v>
      </c>
      <c r="AW3" s="10">
        <f t="shared" si="3"/>
        <v>7</v>
      </c>
      <c r="AX3" s="10">
        <f>AW3+1</f>
        <v>8</v>
      </c>
      <c r="AY3" s="10">
        <f>AX3</f>
        <v>8</v>
      </c>
      <c r="AZ3" s="10">
        <f>AY3</f>
        <v>8</v>
      </c>
      <c r="BA3" s="10">
        <f t="shared" si="4"/>
        <v>8</v>
      </c>
      <c r="BB3" s="10">
        <f>BA3+1</f>
        <v>9</v>
      </c>
      <c r="BC3" s="10">
        <f>BB3</f>
        <v>9</v>
      </c>
      <c r="BD3" s="10">
        <f>BC3</f>
        <v>9</v>
      </c>
      <c r="BE3" s="10">
        <f t="shared" si="5"/>
        <v>9</v>
      </c>
      <c r="BF3" s="10">
        <f>BE3+1</f>
        <v>10</v>
      </c>
      <c r="BG3" s="10">
        <f>BF3</f>
        <v>10</v>
      </c>
      <c r="BH3" s="10">
        <f>BG3</f>
        <v>10</v>
      </c>
      <c r="BI3" s="10">
        <f t="shared" si="6"/>
        <v>10</v>
      </c>
      <c r="BJ3" s="10">
        <f>BI3+1</f>
        <v>11</v>
      </c>
      <c r="BK3" s="10">
        <f>BJ3</f>
        <v>11</v>
      </c>
      <c r="BL3" s="10">
        <f>BK3</f>
        <v>11</v>
      </c>
      <c r="BM3" s="10">
        <f t="shared" si="7"/>
        <v>11</v>
      </c>
      <c r="BN3" s="10">
        <f>BM3+1</f>
        <v>12</v>
      </c>
      <c r="BO3" s="10">
        <f>BN3</f>
        <v>12</v>
      </c>
      <c r="BP3" s="10">
        <f>BO3</f>
        <v>12</v>
      </c>
      <c r="BQ3" s="10">
        <f t="shared" si="8"/>
        <v>12</v>
      </c>
      <c r="BR3" s="10">
        <f>BQ3+1</f>
        <v>13</v>
      </c>
      <c r="BS3" s="10">
        <f>BR3</f>
        <v>13</v>
      </c>
      <c r="BT3" s="10">
        <f>BS3</f>
        <v>13</v>
      </c>
      <c r="BU3" s="10">
        <f t="shared" si="9"/>
        <v>13</v>
      </c>
      <c r="BV3" s="10">
        <f>BU3+1</f>
        <v>14</v>
      </c>
      <c r="BW3" s="10">
        <f>BV3</f>
        <v>14</v>
      </c>
      <c r="BX3" s="10">
        <f>BW3</f>
        <v>14</v>
      </c>
      <c r="BY3" s="10">
        <f t="shared" si="10"/>
        <v>14</v>
      </c>
      <c r="BZ3" s="10">
        <f>BY3+1</f>
        <v>15</v>
      </c>
      <c r="CA3" s="10">
        <f>BZ3</f>
        <v>15</v>
      </c>
      <c r="CB3" s="10">
        <f>CA3</f>
        <v>15</v>
      </c>
      <c r="CC3" s="10">
        <f t="shared" si="11"/>
        <v>15</v>
      </c>
    </row>
    <row r="4" spans="1:81" x14ac:dyDescent="0.3">
      <c r="H4" s="31">
        <f ca="1">TODAY()</f>
        <v>46076</v>
      </c>
      <c r="P4" s="77" t="s">
        <v>34</v>
      </c>
      <c r="Q4" s="77"/>
      <c r="R4" s="77"/>
      <c r="S4" s="77"/>
      <c r="T4" s="77"/>
      <c r="U4" s="77"/>
      <c r="V4" s="74" t="str">
        <f>CONCATENATE(V3,"º Ponto")</f>
        <v>1º Ponto</v>
      </c>
      <c r="W4" s="75"/>
      <c r="X4" s="75"/>
      <c r="Y4" s="76"/>
      <c r="Z4" s="78" t="str">
        <f t="shared" ref="Z4" si="12">CONCATENATE(Z3,"º Ponto")</f>
        <v>2º Ponto</v>
      </c>
      <c r="AA4" s="79"/>
      <c r="AB4" s="79"/>
      <c r="AC4" s="80"/>
      <c r="AD4" s="74" t="str">
        <f t="shared" ref="AD4" si="13">CONCATENATE(AD3,"º Ponto")</f>
        <v>3º Ponto</v>
      </c>
      <c r="AE4" s="75"/>
      <c r="AF4" s="75"/>
      <c r="AG4" s="76"/>
      <c r="AH4" s="78" t="str">
        <f t="shared" ref="AH4" si="14">CONCATENATE(AH3,"º Ponto")</f>
        <v>4º Ponto</v>
      </c>
      <c r="AI4" s="79"/>
      <c r="AJ4" s="79"/>
      <c r="AK4" s="80"/>
      <c r="AL4" s="74" t="str">
        <f t="shared" ref="AL4" si="15">CONCATENATE(AL3,"º Ponto")</f>
        <v>5º Ponto</v>
      </c>
      <c r="AM4" s="75"/>
      <c r="AN4" s="75"/>
      <c r="AO4" s="76"/>
      <c r="AP4" s="78" t="str">
        <f t="shared" ref="AP4" si="16">CONCATENATE(AP3,"º Ponto")</f>
        <v>6º Ponto</v>
      </c>
      <c r="AQ4" s="79"/>
      <c r="AR4" s="79"/>
      <c r="AS4" s="80"/>
      <c r="AT4" s="74" t="str">
        <f t="shared" ref="AT4" si="17">CONCATENATE(AT3,"º Ponto")</f>
        <v>7º Ponto</v>
      </c>
      <c r="AU4" s="75"/>
      <c r="AV4" s="75"/>
      <c r="AW4" s="76"/>
      <c r="AX4" s="78" t="str">
        <f t="shared" ref="AX4" si="18">CONCATENATE(AX3,"º Ponto")</f>
        <v>8º Ponto</v>
      </c>
      <c r="AY4" s="79"/>
      <c r="AZ4" s="79"/>
      <c r="BA4" s="80"/>
      <c r="BB4" s="74" t="str">
        <f t="shared" ref="BB4" si="19">CONCATENATE(BB3,"º Ponto")</f>
        <v>9º Ponto</v>
      </c>
      <c r="BC4" s="75"/>
      <c r="BD4" s="75"/>
      <c r="BE4" s="76"/>
      <c r="BF4" s="78" t="str">
        <f t="shared" ref="BF4" si="20">CONCATENATE(BF3,"º Ponto")</f>
        <v>10º Ponto</v>
      </c>
      <c r="BG4" s="79"/>
      <c r="BH4" s="79"/>
      <c r="BI4" s="80"/>
      <c r="BJ4" s="74" t="str">
        <f t="shared" ref="BJ4" si="21">CONCATENATE(BJ3,"º Ponto")</f>
        <v>11º Ponto</v>
      </c>
      <c r="BK4" s="75"/>
      <c r="BL4" s="75"/>
      <c r="BM4" s="76"/>
      <c r="BN4" s="78" t="str">
        <f t="shared" ref="BN4" si="22">CONCATENATE(BN3,"º Ponto")</f>
        <v>12º Ponto</v>
      </c>
      <c r="BO4" s="79"/>
      <c r="BP4" s="79"/>
      <c r="BQ4" s="80"/>
      <c r="BR4" s="74" t="str">
        <f t="shared" ref="BR4" si="23">CONCATENATE(BR3,"º Ponto")</f>
        <v>13º Ponto</v>
      </c>
      <c r="BS4" s="75"/>
      <c r="BT4" s="75"/>
      <c r="BU4" s="76"/>
      <c r="BV4" s="78" t="str">
        <f t="shared" ref="BV4" si="24">CONCATENATE(BV3,"º Ponto")</f>
        <v>14º Ponto</v>
      </c>
      <c r="BW4" s="79"/>
      <c r="BX4" s="79"/>
      <c r="BY4" s="80"/>
      <c r="BZ4" s="74" t="str">
        <f t="shared" ref="BZ4" si="25">CONCATENATE(BZ3,"º Ponto")</f>
        <v>15º Ponto</v>
      </c>
      <c r="CA4" s="75"/>
      <c r="CB4" s="75"/>
      <c r="CC4" s="76"/>
    </row>
    <row r="5" spans="1:81" x14ac:dyDescent="0.3">
      <c r="B5" s="11" t="s">
        <v>35</v>
      </c>
      <c r="C5" s="11" t="s">
        <v>36</v>
      </c>
      <c r="D5" s="11" t="s">
        <v>37</v>
      </c>
      <c r="E5" s="11" t="s">
        <v>38</v>
      </c>
      <c r="F5" s="11" t="s">
        <v>39</v>
      </c>
      <c r="G5" s="11" t="s">
        <v>40</v>
      </c>
      <c r="H5" s="11" t="s">
        <v>41</v>
      </c>
      <c r="I5" s="11" t="s">
        <v>42</v>
      </c>
      <c r="J5" s="11" t="s">
        <v>43</v>
      </c>
      <c r="K5" s="11" t="s">
        <v>44</v>
      </c>
      <c r="L5" s="11" t="s">
        <v>45</v>
      </c>
      <c r="M5" s="11" t="s">
        <v>94</v>
      </c>
      <c r="N5" s="11" t="s">
        <v>95</v>
      </c>
      <c r="O5" s="11" t="s">
        <v>96</v>
      </c>
      <c r="P5" s="12" t="s">
        <v>1</v>
      </c>
      <c r="Q5" s="12" t="s">
        <v>8</v>
      </c>
      <c r="R5" s="12" t="s">
        <v>2</v>
      </c>
      <c r="S5" s="12" t="s">
        <v>3</v>
      </c>
      <c r="T5" s="12" t="s">
        <v>4</v>
      </c>
      <c r="U5" s="12" t="s">
        <v>5</v>
      </c>
      <c r="V5" s="13" t="str">
        <f>CONCATENATE(V3,"-VR")</f>
        <v>1-VR</v>
      </c>
      <c r="W5" s="13" t="str">
        <f>CONCATENATE(W3,"-U")</f>
        <v>1-U</v>
      </c>
      <c r="X5" s="13" t="str">
        <f>CONCATENATE(X3,"-K")</f>
        <v>1-K</v>
      </c>
      <c r="Y5" s="13" t="str">
        <f>CONCATENATE(Y3,"-GL")</f>
        <v>1-GL</v>
      </c>
      <c r="Z5" s="14" t="str">
        <f t="shared" ref="Z5" si="26">CONCATENATE(Z3,"-VR")</f>
        <v>2-VR</v>
      </c>
      <c r="AA5" s="14" t="str">
        <f t="shared" ref="AA5" si="27">CONCATENATE(AA3,"-U")</f>
        <v>2-U</v>
      </c>
      <c r="AB5" s="14" t="str">
        <f t="shared" ref="AB5" si="28">CONCATENATE(AB3,"-K")</f>
        <v>2-K</v>
      </c>
      <c r="AC5" s="14" t="str">
        <f t="shared" ref="AC5" si="29">CONCATENATE(AC3,"-GL")</f>
        <v>2-GL</v>
      </c>
      <c r="AD5" s="13" t="str">
        <f t="shared" ref="AD5" si="30">CONCATENATE(AD3,"-VR")</f>
        <v>3-VR</v>
      </c>
      <c r="AE5" s="13" t="str">
        <f t="shared" ref="AE5" si="31">CONCATENATE(AE3,"-U")</f>
        <v>3-U</v>
      </c>
      <c r="AF5" s="13" t="str">
        <f t="shared" ref="AF5" si="32">CONCATENATE(AF3,"-K")</f>
        <v>3-K</v>
      </c>
      <c r="AG5" s="13" t="str">
        <f t="shared" ref="AG5" si="33">CONCATENATE(AG3,"-GL")</f>
        <v>3-GL</v>
      </c>
      <c r="AH5" s="14" t="str">
        <f t="shared" ref="AH5" si="34">CONCATENATE(AH3,"-VR")</f>
        <v>4-VR</v>
      </c>
      <c r="AI5" s="14" t="str">
        <f t="shared" ref="AI5" si="35">CONCATENATE(AI3,"-U")</f>
        <v>4-U</v>
      </c>
      <c r="AJ5" s="14" t="str">
        <f t="shared" ref="AJ5" si="36">CONCATENATE(AJ3,"-K")</f>
        <v>4-K</v>
      </c>
      <c r="AK5" s="14" t="str">
        <f t="shared" ref="AK5" si="37">CONCATENATE(AK3,"-GL")</f>
        <v>4-GL</v>
      </c>
      <c r="AL5" s="13" t="str">
        <f t="shared" ref="AL5" si="38">CONCATENATE(AL3,"-VR")</f>
        <v>5-VR</v>
      </c>
      <c r="AM5" s="13" t="str">
        <f t="shared" ref="AM5" si="39">CONCATENATE(AM3,"-U")</f>
        <v>5-U</v>
      </c>
      <c r="AN5" s="13" t="str">
        <f t="shared" ref="AN5" si="40">CONCATENATE(AN3,"-K")</f>
        <v>5-K</v>
      </c>
      <c r="AO5" s="13" t="str">
        <f t="shared" ref="AO5" si="41">CONCATENATE(AO3,"-GL")</f>
        <v>5-GL</v>
      </c>
      <c r="AP5" s="14" t="str">
        <f t="shared" ref="AP5" si="42">CONCATENATE(AP3,"-VR")</f>
        <v>6-VR</v>
      </c>
      <c r="AQ5" s="14" t="str">
        <f t="shared" ref="AQ5" si="43">CONCATENATE(AQ3,"-U")</f>
        <v>6-U</v>
      </c>
      <c r="AR5" s="14" t="str">
        <f t="shared" ref="AR5" si="44">CONCATENATE(AR3,"-K")</f>
        <v>6-K</v>
      </c>
      <c r="AS5" s="14" t="str">
        <f t="shared" ref="AS5" si="45">CONCATENATE(AS3,"-GL")</f>
        <v>6-GL</v>
      </c>
      <c r="AT5" s="13" t="str">
        <f t="shared" ref="AT5" si="46">CONCATENATE(AT3,"-VR")</f>
        <v>7-VR</v>
      </c>
      <c r="AU5" s="13" t="str">
        <f t="shared" ref="AU5" si="47">CONCATENATE(AU3,"-U")</f>
        <v>7-U</v>
      </c>
      <c r="AV5" s="13" t="str">
        <f t="shared" ref="AV5" si="48">CONCATENATE(AV3,"-K")</f>
        <v>7-K</v>
      </c>
      <c r="AW5" s="13" t="str">
        <f t="shared" ref="AW5" si="49">CONCATENATE(AW3,"-GL")</f>
        <v>7-GL</v>
      </c>
      <c r="AX5" s="14" t="str">
        <f t="shared" ref="AX5" si="50">CONCATENATE(AX3,"-VR")</f>
        <v>8-VR</v>
      </c>
      <c r="AY5" s="14" t="str">
        <f t="shared" ref="AY5" si="51">CONCATENATE(AY3,"-U")</f>
        <v>8-U</v>
      </c>
      <c r="AZ5" s="14" t="str">
        <f t="shared" ref="AZ5" si="52">CONCATENATE(AZ3,"-K")</f>
        <v>8-K</v>
      </c>
      <c r="BA5" s="14" t="str">
        <f t="shared" ref="BA5" si="53">CONCATENATE(BA3,"-GL")</f>
        <v>8-GL</v>
      </c>
      <c r="BB5" s="13" t="str">
        <f t="shared" ref="BB5" si="54">CONCATENATE(BB3,"-VR")</f>
        <v>9-VR</v>
      </c>
      <c r="BC5" s="13" t="str">
        <f t="shared" ref="BC5" si="55">CONCATENATE(BC3,"-U")</f>
        <v>9-U</v>
      </c>
      <c r="BD5" s="13" t="str">
        <f t="shared" ref="BD5" si="56">CONCATENATE(BD3,"-K")</f>
        <v>9-K</v>
      </c>
      <c r="BE5" s="13" t="str">
        <f t="shared" ref="BE5" si="57">CONCATENATE(BE3,"-GL")</f>
        <v>9-GL</v>
      </c>
      <c r="BF5" s="14" t="str">
        <f t="shared" ref="BF5" si="58">CONCATENATE(BF3,"-VR")</f>
        <v>10-VR</v>
      </c>
      <c r="BG5" s="14" t="str">
        <f t="shared" ref="BG5" si="59">CONCATENATE(BG3,"-U")</f>
        <v>10-U</v>
      </c>
      <c r="BH5" s="14" t="str">
        <f t="shared" ref="BH5" si="60">CONCATENATE(BH3,"-K")</f>
        <v>10-K</v>
      </c>
      <c r="BI5" s="14" t="str">
        <f t="shared" ref="BI5" si="61">CONCATENATE(BI3,"-GL")</f>
        <v>10-GL</v>
      </c>
      <c r="BJ5" s="13" t="str">
        <f t="shared" ref="BJ5" si="62">CONCATENATE(BJ3,"-VR")</f>
        <v>11-VR</v>
      </c>
      <c r="BK5" s="13" t="str">
        <f t="shared" ref="BK5" si="63">CONCATENATE(BK3,"-U")</f>
        <v>11-U</v>
      </c>
      <c r="BL5" s="13" t="str">
        <f t="shared" ref="BL5" si="64">CONCATENATE(BL3,"-K")</f>
        <v>11-K</v>
      </c>
      <c r="BM5" s="13" t="str">
        <f t="shared" ref="BM5" si="65">CONCATENATE(BM3,"-GL")</f>
        <v>11-GL</v>
      </c>
      <c r="BN5" s="14" t="str">
        <f t="shared" ref="BN5" si="66">CONCATENATE(BN3,"-VR")</f>
        <v>12-VR</v>
      </c>
      <c r="BO5" s="14" t="str">
        <f t="shared" ref="BO5" si="67">CONCATENATE(BO3,"-U")</f>
        <v>12-U</v>
      </c>
      <c r="BP5" s="14" t="str">
        <f t="shared" ref="BP5" si="68">CONCATENATE(BP3,"-K")</f>
        <v>12-K</v>
      </c>
      <c r="BQ5" s="14" t="str">
        <f t="shared" ref="BQ5" si="69">CONCATENATE(BQ3,"-GL")</f>
        <v>12-GL</v>
      </c>
      <c r="BR5" s="13" t="str">
        <f t="shared" ref="BR5" si="70">CONCATENATE(BR3,"-VR")</f>
        <v>13-VR</v>
      </c>
      <c r="BS5" s="13" t="str">
        <f t="shared" ref="BS5" si="71">CONCATENATE(BS3,"-U")</f>
        <v>13-U</v>
      </c>
      <c r="BT5" s="13" t="str">
        <f t="shared" ref="BT5" si="72">CONCATENATE(BT3,"-K")</f>
        <v>13-K</v>
      </c>
      <c r="BU5" s="13" t="str">
        <f t="shared" ref="BU5" si="73">CONCATENATE(BU3,"-GL")</f>
        <v>13-GL</v>
      </c>
      <c r="BV5" s="14" t="str">
        <f t="shared" ref="BV5" si="74">CONCATENATE(BV3,"-VR")</f>
        <v>14-VR</v>
      </c>
      <c r="BW5" s="14" t="str">
        <f t="shared" ref="BW5" si="75">CONCATENATE(BW3,"-U")</f>
        <v>14-U</v>
      </c>
      <c r="BX5" s="14" t="str">
        <f t="shared" ref="BX5" si="76">CONCATENATE(BX3,"-K")</f>
        <v>14-K</v>
      </c>
      <c r="BY5" s="14" t="str">
        <f t="shared" ref="BY5" si="77">CONCATENATE(BY3,"-GL")</f>
        <v>14-GL</v>
      </c>
      <c r="BZ5" s="13" t="str">
        <f t="shared" ref="BZ5" si="78">CONCATENATE(BZ3,"-VR")</f>
        <v>15-VR</v>
      </c>
      <c r="CA5" s="13" t="str">
        <f t="shared" ref="CA5" si="79">CONCATENATE(CA3,"-U")</f>
        <v>15-U</v>
      </c>
      <c r="CB5" s="13" t="str">
        <f t="shared" ref="CB5" si="80">CONCATENATE(CB3,"-K")</f>
        <v>15-K</v>
      </c>
      <c r="CC5" s="13" t="str">
        <f t="shared" ref="CC5" si="81">CONCATENATE(CC3,"-GL")</f>
        <v>15-GL</v>
      </c>
    </row>
    <row r="6" spans="1:81" x14ac:dyDescent="0.3">
      <c r="A6" s="15">
        <v>1</v>
      </c>
      <c r="B6" s="16" t="str">
        <f>IF(VLOOKUP(ROUND(CONCATENATE($A6,B$2),0),'Cadastro - Padrões'!$A$2:$T$1160,B$1,FALSE)="","-",VLOOKUP(ROUND(CONCATENATE($A6,B$2),0),'Cadastro - Padrões'!$A$2:$T$1160,B$1,FALSE))</f>
        <v>X.TH.LV-001</v>
      </c>
      <c r="C6" s="16" t="str">
        <f>IF($B6="-","-",VLOOKUP(ROUND(CONCATENATE($A6,C$2),0),'Cadastro - Padrões'!$A$2:$T$1160,C$1,FALSE))</f>
        <v>Barômetro Digital</v>
      </c>
      <c r="D6" s="16" t="str">
        <f>IF($B6="-","-",VLOOKUP(ROUND(CONCATENATE($A6,D$2),0),'Cadastro - Padrões'!$A$2:$T$1160,D$1,FALSE))</f>
        <v>ELUS</v>
      </c>
      <c r="E6" s="16" t="str">
        <f>IF($B6="-","-",VLOOKUP(ROUND(CONCATENATE($A6,E$2),0),'Cadastro - Padrões'!$A$2:$T$1160,E$1,FALSE))</f>
        <v>RBC - CAL 0439</v>
      </c>
      <c r="F6" s="16" t="str">
        <f>IF($B6="-","-",VLOOKUP(ROUND(CONCATENATE($A6,F$2),0),'Cadastro - Padrões'!$A$2:$T$1160,F$1,FALSE))</f>
        <v>E0369B/24</v>
      </c>
      <c r="G6" s="17">
        <f>IF($B6="-","-",VLOOKUP(ROUND(CONCATENATE($A6,G$2),0),'Cadastro - Padrões'!$A$2:$T$1160,G$1,FALSE))</f>
        <v>45559</v>
      </c>
      <c r="H6" s="18">
        <f>IF($B6="-","-",VLOOKUP(ROUND(CONCATENATE($A6,H$2),0),'Cadastro - Padrões'!$A$2:$T$1160,H$1,FALSE))</f>
        <v>45924</v>
      </c>
      <c r="I6" s="16" t="str">
        <f>IF($B6="-","-",VLOOKUP(ROUND(CONCATENATE($A6,I$2),0),'Cadastro - Padrões'!$A$2:$T$1160,I$1,FALSE))</f>
        <v>hPa</v>
      </c>
      <c r="J6" s="16">
        <f>IF($B6="-","-",VLOOKUP(ROUND(CONCATENATE($A6,J$2),0),'Cadastro - Padrões'!$A$2:$T$1160,J$1,FALSE))</f>
        <v>500.04</v>
      </c>
      <c r="K6" s="16">
        <f>IF($B6="-","-",VLOOKUP(ROUND(CONCATENATE($A6,K$2),0),'Cadastro - Padrões'!$A$2:$T$1160,K$1,FALSE))</f>
        <v>1099.1500000000001</v>
      </c>
      <c r="L6" s="16">
        <f>IF($B6="-","-",VLOOKUP(ROUND(CONCATENATE($A6,L$2),0),'Cadastro - Padrões'!$A$2:$T$1160,L$1,FALSE))</f>
        <v>0.01</v>
      </c>
      <c r="M6" s="19">
        <f>IF($B6="-","-",VLOOKUP(ROUND(CONCATENATE($A6,M$2),0),'Cadastro - Padrões'!$A$2:$T$1160,M$1,FALSE))</f>
        <v>0.5</v>
      </c>
      <c r="N6" s="16">
        <f>IF($B6="-","-",VLOOKUP(ROUND(CONCATENATE($A6,N$2),0),'Cadastro - Padrões'!$A$2:$T$1160,N$1,FALSE))</f>
        <v>0.11</v>
      </c>
      <c r="O6" s="19">
        <f>IF($B6="-","-",VLOOKUP(ROUND(CONCATENATE($A6,O$2),0),'Cadastro - Padrões'!$A$2:$T$1160,O$1,FALSE))</f>
        <v>6.9999999999993179E-2</v>
      </c>
      <c r="P6" s="16">
        <f>IF($B6="-","-",VLOOKUP(ROUND(CONCATENATE($A6,P$2),0),'Cadastro - Padrões'!$A$2:$T$1160,P$1,FALSE))</f>
        <v>8.577388855574835E-3</v>
      </c>
      <c r="Q6" s="16">
        <f>IF($B6="-","-",VLOOKUP(ROUND(CONCATENATE($A6,Q$2),0),'Cadastro - Padrões'!$A$2:$T$1160,Q$1,FALSE))</f>
        <v>3</v>
      </c>
      <c r="R6" s="16">
        <f>IF($B6="-","-",VLOOKUP(ROUND(CONCATENATE($A6,R$2),0),'Cadastro - Padrões'!$A$2:$T$1160,R$1,FALSE))</f>
        <v>-1.6624347886143584E-9</v>
      </c>
      <c r="S6" s="16">
        <f>IF($B6="-","-",VLOOKUP(ROUND(CONCATENATE($A6,S$2),0),'Cadastro - Padrões'!$A$2:$T$1160,S$1,FALSE))</f>
        <v>3.7566008020070642E-6</v>
      </c>
      <c r="T6" s="16">
        <f>IF($B6="-","-",VLOOKUP(ROUND(CONCATENATE($A6,T$2),0),'Cadastro - Padrões'!$A$2:$T$1160,T$1,FALSE))</f>
        <v>0.99781207801395577</v>
      </c>
      <c r="U6" s="16">
        <f>IF($B6="-","-",VLOOKUP(ROUND(CONCATENATE($A6,U$2),0),'Cadastro - Padrões'!$A$2:$T$1160,U$1,FALSE))</f>
        <v>-0.1364471993613201</v>
      </c>
      <c r="V6" s="16">
        <f>IF($B6="-","-",IF(VLOOKUP(ROUND(CONCATENATE($A6,V$2),0),'Cadastro - Padrões'!$A$2:$T$1160,V$1,FALSE)="","-",VLOOKUP(ROUND(CONCATENATE($A6,V$2),0),'Cadastro - Padrões'!$A$2:$T$1160,V$1,FALSE)))</f>
        <v>500.04</v>
      </c>
      <c r="W6" s="16">
        <f>IF($B6="-","-",IF(VLOOKUP(ROUND(CONCATENATE($A6,W$2),0),'Cadastro - Padrões'!$A$2:$T$1160,W$1,FALSE)="","-",VLOOKUP(ROUND(CONCATENATE($A6,W$2),0),'Cadastro - Padrões'!$A$2:$T$1160,W$1,FALSE)))</f>
        <v>0.06</v>
      </c>
      <c r="X6" s="16">
        <f>IF($B6="-","-",IF(VLOOKUP(ROUND(CONCATENATE($A6,X$2),0),'Cadastro - Padrões'!$A$2:$T$1160,X$1,FALSE)="","-",VLOOKUP(ROUND(CONCATENATE($A6,X$2),0),'Cadastro - Padrões'!$A$2:$T$1160,X$1,FALSE)))</f>
        <v>2</v>
      </c>
      <c r="Y6" s="16">
        <f>IF($B6="-","-",IF(VLOOKUP(ROUND(CONCATENATE($A6,Y$2),0),'Cadastro - Padrões'!$A$2:$T$1160,Y$1,FALSE)="","-",VLOOKUP(ROUND(CONCATENATE($A6,Y$2),0),'Cadastro - Padrões'!$A$2:$T$1160,Y$1,FALSE)))</f>
        <v>1000000</v>
      </c>
      <c r="Z6" s="16">
        <f>IF($B6="-","-",IF(VLOOKUP(ROUND(CONCATENATE($A6,Z$2),0),'Cadastro - Padrões'!$A$2:$T$1160,Z$1,FALSE)="","-",VLOOKUP(ROUND(CONCATENATE($A6,Z$2),0),'Cadastro - Padrões'!$A$2:$T$1160,Z$1,FALSE)))</f>
        <v>620.07000000000005</v>
      </c>
      <c r="AA6" s="16">
        <f>IF($B6="-","-",IF(VLOOKUP(ROUND(CONCATENATE($A6,AA$2),0),'Cadastro - Padrões'!$A$2:$T$1160,AA$1,FALSE)="","-",VLOOKUP(ROUND(CONCATENATE($A6,AA$2),0),'Cadastro - Padrões'!$A$2:$T$1160,AA$1,FALSE)))</f>
        <v>0.06</v>
      </c>
      <c r="AB6" s="16">
        <f>IF($B6="-","-",IF(VLOOKUP(ROUND(CONCATENATE($A6,AB$2),0),'Cadastro - Padrões'!$A$2:$T$1160,AB$1,FALSE)="","-",VLOOKUP(ROUND(CONCATENATE($A6,AB$2),0),'Cadastro - Padrões'!$A$2:$T$1160,AB$1,FALSE)))</f>
        <v>2</v>
      </c>
      <c r="AC6" s="16">
        <f>IF($B6="-","-",IF(VLOOKUP(ROUND(CONCATENATE($A6,AC$2),0),'Cadastro - Padrões'!$A$2:$T$1160,AC$1,FALSE)="","-",VLOOKUP(ROUND(CONCATENATE($A6,AC$2),0),'Cadastro - Padrões'!$A$2:$T$1160,AC$1,FALSE)))</f>
        <v>1000000</v>
      </c>
      <c r="AD6" s="16">
        <f>IF($B6="-","-",IF(VLOOKUP(ROUND(CONCATENATE($A6,AD$2),0),'Cadastro - Padrões'!$A$2:$T$1160,AD$1,FALSE)="","-",VLOOKUP(ROUND(CONCATENATE($A6,AD$2),0),'Cadastro - Padrões'!$A$2:$T$1160,AD$1,FALSE)))</f>
        <v>740.11</v>
      </c>
      <c r="AE6" s="16">
        <f>IF($B6="-","-",IF(VLOOKUP(ROUND(CONCATENATE($A6,AE$2),0),'Cadastro - Padrões'!$A$2:$T$1160,AE$1,FALSE)="","-",VLOOKUP(ROUND(CONCATENATE($A6,AE$2),0),'Cadastro - Padrões'!$A$2:$T$1160,AE$1,FALSE)))</f>
        <v>0.08</v>
      </c>
      <c r="AF6" s="16">
        <f>IF($B6="-","-",IF(VLOOKUP(ROUND(CONCATENATE($A6,AF$2),0),'Cadastro - Padrões'!$A$2:$T$1160,AF$1,FALSE)="","-",VLOOKUP(ROUND(CONCATENATE($A6,AF$2),0),'Cadastro - Padrões'!$A$2:$T$1160,AF$1,FALSE)))</f>
        <v>2</v>
      </c>
      <c r="AG6" s="16">
        <f>IF($B6="-","-",IF(VLOOKUP(ROUND(CONCATENATE($A6,AG$2),0),'Cadastro - Padrões'!$A$2:$T$1160,AG$1,FALSE)="","-",VLOOKUP(ROUND(CONCATENATE($A6,AG$2),0),'Cadastro - Padrões'!$A$2:$T$1160,AG$1,FALSE)))</f>
        <v>1000000</v>
      </c>
      <c r="AH6" s="16">
        <f>IF($B6="-","-",IF(VLOOKUP(ROUND(CONCATENATE($A6,AH$2),0),'Cadastro - Padrões'!$A$2:$T$1160,AH$1,FALSE)="","-",VLOOKUP(ROUND(CONCATENATE($A6,AH$2),0),'Cadastro - Padrões'!$A$2:$T$1160,AH$1,FALSE)))</f>
        <v>860.13</v>
      </c>
      <c r="AI6" s="16">
        <f>IF($B6="-","-",IF(VLOOKUP(ROUND(CONCATENATE($A6,AI$2),0),'Cadastro - Padrões'!$A$2:$T$1160,AI$1,FALSE)="","-",VLOOKUP(ROUND(CONCATENATE($A6,AI$2),0),'Cadastro - Padrões'!$A$2:$T$1160,AI$1,FALSE)))</f>
        <v>0.09</v>
      </c>
      <c r="AJ6" s="16">
        <f>IF($B6="-","-",IF(VLOOKUP(ROUND(CONCATENATE($A6,AJ$2),0),'Cadastro - Padrões'!$A$2:$T$1160,AJ$1,FALSE)="","-",VLOOKUP(ROUND(CONCATENATE($A6,AJ$2),0),'Cadastro - Padrões'!$A$2:$T$1160,AJ$1,FALSE)))</f>
        <v>2</v>
      </c>
      <c r="AK6" s="16">
        <f>IF($B6="-","-",IF(VLOOKUP(ROUND(CONCATENATE($A6,AK$2),0),'Cadastro - Padrões'!$A$2:$T$1160,AK$1,FALSE)="","-",VLOOKUP(ROUND(CONCATENATE($A6,AK$2),0),'Cadastro - Padrões'!$A$2:$T$1160,AK$1,FALSE)))</f>
        <v>1000000</v>
      </c>
      <c r="AL6" s="16">
        <f>IF($B6="-","-",IF(VLOOKUP(ROUND(CONCATENATE($A6,AL$2),0),'Cadastro - Padrões'!$A$2:$T$1160,AL$1,FALSE)="","-",VLOOKUP(ROUND(CONCATENATE($A6,AL$2),0),'Cadastro - Padrões'!$A$2:$T$1160,AL$1,FALSE)))</f>
        <v>980.15</v>
      </c>
      <c r="AM6" s="16">
        <f>IF($B6="-","-",IF(VLOOKUP(ROUND(CONCATENATE($A6,AM$2),0),'Cadastro - Padrões'!$A$2:$T$1160,AM$1,FALSE)="","-",VLOOKUP(ROUND(CONCATENATE($A6,AM$2),0),'Cadastro - Padrões'!$A$2:$T$1160,AM$1,FALSE)))</f>
        <v>0.1</v>
      </c>
      <c r="AN6" s="16">
        <f>IF($B6="-","-",IF(VLOOKUP(ROUND(CONCATENATE($A6,AN$2),0),'Cadastro - Padrões'!$A$2:$T$1160,AN$1,FALSE)="","-",VLOOKUP(ROUND(CONCATENATE($A6,AN$2),0),'Cadastro - Padrões'!$A$2:$T$1160,AN$1,FALSE)))</f>
        <v>2</v>
      </c>
      <c r="AO6" s="16">
        <f>IF($B6="-","-",IF(VLOOKUP(ROUND(CONCATENATE($A6,AO$2),0),'Cadastro - Padrões'!$A$2:$T$1160,AO$1,FALSE)="","-",VLOOKUP(ROUND(CONCATENATE($A6,AO$2),0),'Cadastro - Padrões'!$A$2:$T$1160,AO$1,FALSE)))</f>
        <v>1000000</v>
      </c>
      <c r="AP6" s="16">
        <f>IF($B6="-","-",IF(VLOOKUP(ROUND(CONCATENATE($A6,AP$2),0),'Cadastro - Padrões'!$A$2:$T$1160,AP$1,FALSE)="","-",VLOOKUP(ROUND(CONCATENATE($A6,AP$2),0),'Cadastro - Padrões'!$A$2:$T$1160,AP$1,FALSE)))</f>
        <v>1099.1500000000001</v>
      </c>
      <c r="AQ6" s="16">
        <f>IF($B6="-","-",IF(VLOOKUP(ROUND(CONCATENATE($A6,AQ$2),0),'Cadastro - Padrões'!$A$2:$T$1160,AQ$1,FALSE)="","-",VLOOKUP(ROUND(CONCATENATE($A6,AQ$2),0),'Cadastro - Padrões'!$A$2:$T$1160,AQ$1,FALSE)))</f>
        <v>0.11</v>
      </c>
      <c r="AR6" s="16">
        <f>IF($B6="-","-",IF(VLOOKUP(ROUND(CONCATENATE($A6,AR$2),0),'Cadastro - Padrões'!$A$2:$T$1160,AR$1,FALSE)="","-",VLOOKUP(ROUND(CONCATENATE($A6,AR$2),0),'Cadastro - Padrões'!$A$2:$T$1160,AR$1,FALSE)))</f>
        <v>2</v>
      </c>
      <c r="AS6" s="16">
        <f>IF($B6="-","-",IF(VLOOKUP(ROUND(CONCATENATE($A6,AS$2),0),'Cadastro - Padrões'!$A$2:$T$1160,AS$1,FALSE)="","-",VLOOKUP(ROUND(CONCATENATE($A6,AS$2),0),'Cadastro - Padrões'!$A$2:$T$1160,AS$1,FALSE)))</f>
        <v>1000000</v>
      </c>
      <c r="AT6" s="16" t="str">
        <f>IF($B6="-","-",IF(VLOOKUP(ROUND(CONCATENATE($A6,AT$2),0),'Cadastro - Padrões'!$A$2:$T$1160,AT$1,FALSE)="","-",VLOOKUP(ROUND(CONCATENATE($A6,AT$2),0),'Cadastro - Padrões'!$A$2:$T$1160,AT$1,FALSE)))</f>
        <v>-</v>
      </c>
      <c r="AU6" s="16" t="str">
        <f>IF($B6="-","-",IF(VLOOKUP(ROUND(CONCATENATE($A6,AU$2),0),'Cadastro - Padrões'!$A$2:$T$1160,AU$1,FALSE)="","-",VLOOKUP(ROUND(CONCATENATE($A6,AU$2),0),'Cadastro - Padrões'!$A$2:$T$1160,AU$1,FALSE)))</f>
        <v>-</v>
      </c>
      <c r="AV6" s="16" t="str">
        <f>IF($B6="-","-",IF(VLOOKUP(ROUND(CONCATENATE($A6,AV$2),0),'Cadastro - Padrões'!$A$2:$T$1160,AV$1,FALSE)="","-",VLOOKUP(ROUND(CONCATENATE($A6,AV$2),0),'Cadastro - Padrões'!$A$2:$T$1160,AV$1,FALSE)))</f>
        <v>-</v>
      </c>
      <c r="AW6" s="16" t="str">
        <f>IF($B6="-","-",IF(VLOOKUP(ROUND(CONCATENATE($A6,AW$2),0),'Cadastro - Padrões'!$A$2:$T$1160,AW$1,FALSE)="","-",VLOOKUP(ROUND(CONCATENATE($A6,AW$2),0),'Cadastro - Padrões'!$A$2:$T$1160,AW$1,FALSE)))</f>
        <v>-</v>
      </c>
      <c r="AX6" s="16" t="str">
        <f>IF($B6="-","-",IF(VLOOKUP(ROUND(CONCATENATE($A6,AX$2),0),'Cadastro - Padrões'!$A$2:$T$1160,AX$1,FALSE)="","-",VLOOKUP(ROUND(CONCATENATE($A6,AX$2),0),'Cadastro - Padrões'!$A$2:$T$1160,AX$1,FALSE)))</f>
        <v>-</v>
      </c>
      <c r="AY6" s="16" t="str">
        <f>IF($B6="-","-",IF(VLOOKUP(ROUND(CONCATENATE($A6,AY$2),0),'Cadastro - Padrões'!$A$2:$T$1160,AY$1,FALSE)="","-",VLOOKUP(ROUND(CONCATENATE($A6,AY$2),0),'Cadastro - Padrões'!$A$2:$T$1160,AY$1,FALSE)))</f>
        <v>-</v>
      </c>
      <c r="AZ6" s="16" t="str">
        <f>IF($B6="-","-",IF(VLOOKUP(ROUND(CONCATENATE($A6,AZ$2),0),'Cadastro - Padrões'!$A$2:$T$1160,AZ$1,FALSE)="","-",VLOOKUP(ROUND(CONCATENATE($A6,AZ$2),0),'Cadastro - Padrões'!$A$2:$T$1160,AZ$1,FALSE)))</f>
        <v>-</v>
      </c>
      <c r="BA6" s="16" t="str">
        <f>IF($B6="-","-",IF(VLOOKUP(ROUND(CONCATENATE($A6,BA$2),0),'Cadastro - Padrões'!$A$2:$T$1160,BA$1,FALSE)="","-",VLOOKUP(ROUND(CONCATENATE($A6,BA$2),0),'Cadastro - Padrões'!$A$2:$T$1160,BA$1,FALSE)))</f>
        <v>-</v>
      </c>
      <c r="BB6" s="16" t="str">
        <f>IF($B6="-","-",IF(VLOOKUP(ROUND(CONCATENATE($A6,BB$2),0),'Cadastro - Padrões'!$A$2:$T$1160,BB$1,FALSE)="","-",VLOOKUP(ROUND(CONCATENATE($A6,BB$2),0),'Cadastro - Padrões'!$A$2:$T$1160,BB$1,FALSE)))</f>
        <v>-</v>
      </c>
      <c r="BC6" s="16" t="str">
        <f>IF($B6="-","-",IF(VLOOKUP(ROUND(CONCATENATE($A6,BC$2),0),'Cadastro - Padrões'!$A$2:$T$1160,BC$1,FALSE)="","-",VLOOKUP(ROUND(CONCATENATE($A6,BC$2),0),'Cadastro - Padrões'!$A$2:$T$1160,BC$1,FALSE)))</f>
        <v>-</v>
      </c>
      <c r="BD6" s="16" t="str">
        <f>IF($B6="-","-",IF(VLOOKUP(ROUND(CONCATENATE($A6,BD$2),0),'Cadastro - Padrões'!$A$2:$T$1160,BD$1,FALSE)="","-",VLOOKUP(ROUND(CONCATENATE($A6,BD$2),0),'Cadastro - Padrões'!$A$2:$T$1160,BD$1,FALSE)))</f>
        <v>-</v>
      </c>
      <c r="BE6" s="16" t="str">
        <f>IF($B6="-","-",IF(VLOOKUP(ROUND(CONCATENATE($A6,BE$2),0),'Cadastro - Padrões'!$A$2:$T$1160,BE$1,FALSE)="","-",VLOOKUP(ROUND(CONCATENATE($A6,BE$2),0),'Cadastro - Padrões'!$A$2:$T$1160,BE$1,FALSE)))</f>
        <v>-</v>
      </c>
      <c r="BF6" s="16" t="str">
        <f>IF($B6="-","-",IF(VLOOKUP(ROUND(CONCATENATE($A6,BF$2),0),'Cadastro - Padrões'!$A$2:$T$1160,BF$1,FALSE)="","-",VLOOKUP(ROUND(CONCATENATE($A6,BF$2),0),'Cadastro - Padrões'!$A$2:$T$1160,BF$1,FALSE)))</f>
        <v>-</v>
      </c>
      <c r="BG6" s="16" t="str">
        <f>IF($B6="-","-",IF(VLOOKUP(ROUND(CONCATENATE($A6,BG$2),0),'Cadastro - Padrões'!$A$2:$T$1160,BG$1,FALSE)="","-",VLOOKUP(ROUND(CONCATENATE($A6,BG$2),0),'Cadastro - Padrões'!$A$2:$T$1160,BG$1,FALSE)))</f>
        <v>-</v>
      </c>
      <c r="BH6" s="16" t="str">
        <f>IF($B6="-","-",IF(VLOOKUP(ROUND(CONCATENATE($A6,BH$2),0),'Cadastro - Padrões'!$A$2:$T$1160,BH$1,FALSE)="","-",VLOOKUP(ROUND(CONCATENATE($A6,BH$2),0),'Cadastro - Padrões'!$A$2:$T$1160,BH$1,FALSE)))</f>
        <v>-</v>
      </c>
      <c r="BI6" s="16" t="str">
        <f>IF($B6="-","-",IF(VLOOKUP(ROUND(CONCATENATE($A6,BI$2),0),'Cadastro - Padrões'!$A$2:$T$1160,BI$1,FALSE)="","-",VLOOKUP(ROUND(CONCATENATE($A6,BI$2),0),'Cadastro - Padrões'!$A$2:$T$1160,BI$1,FALSE)))</f>
        <v>-</v>
      </c>
      <c r="BJ6" s="16" t="str">
        <f>IF($B6="-","-",IF(VLOOKUP(ROUND(CONCATENATE($A6,BJ$2),0),'Cadastro - Padrões'!$A$2:$T$1160,BJ$1,FALSE)="","-",VLOOKUP(ROUND(CONCATENATE($A6,BJ$2),0),'Cadastro - Padrões'!$A$2:$T$1160,BJ$1,FALSE)))</f>
        <v>-</v>
      </c>
      <c r="BK6" s="16" t="str">
        <f>IF($B6="-","-",IF(VLOOKUP(ROUND(CONCATENATE($A6,BK$2),0),'Cadastro - Padrões'!$A$2:$T$1160,BK$1,FALSE)="","-",VLOOKUP(ROUND(CONCATENATE($A6,BK$2),0),'Cadastro - Padrões'!$A$2:$T$1160,BK$1,FALSE)))</f>
        <v>-</v>
      </c>
      <c r="BL6" s="16" t="str">
        <f>IF($B6="-","-",IF(VLOOKUP(ROUND(CONCATENATE($A6,BL$2),0),'Cadastro - Padrões'!$A$2:$T$1160,BL$1,FALSE)="","-",VLOOKUP(ROUND(CONCATENATE($A6,BL$2),0),'Cadastro - Padrões'!$A$2:$T$1160,BL$1,FALSE)))</f>
        <v>-</v>
      </c>
      <c r="BM6" s="16" t="str">
        <f>IF($B6="-","-",IF(VLOOKUP(ROUND(CONCATENATE($A6,BM$2),0),'Cadastro - Padrões'!$A$2:$T$1160,BM$1,FALSE)="","-",VLOOKUP(ROUND(CONCATENATE($A6,BM$2),0),'Cadastro - Padrões'!$A$2:$T$1160,BM$1,FALSE)))</f>
        <v>-</v>
      </c>
      <c r="BN6" s="16" t="str">
        <f>IF($B6="-","-",IF(VLOOKUP(ROUND(CONCATENATE($A6,BN$2),0),'Cadastro - Padrões'!$A$2:$T$1160,BN$1,FALSE)="","-",VLOOKUP(ROUND(CONCATENATE($A6,BN$2),0),'Cadastro - Padrões'!$A$2:$T$1160,BN$1,FALSE)))</f>
        <v>-</v>
      </c>
      <c r="BO6" s="16" t="str">
        <f>IF($B6="-","-",IF(VLOOKUP(ROUND(CONCATENATE($A6,BO$2),0),'Cadastro - Padrões'!$A$2:$T$1160,BO$1,FALSE)="","-",VLOOKUP(ROUND(CONCATENATE($A6,BO$2),0),'Cadastro - Padrões'!$A$2:$T$1160,BO$1,FALSE)))</f>
        <v>-</v>
      </c>
      <c r="BP6" s="16" t="str">
        <f>IF($B6="-","-",IF(VLOOKUP(ROUND(CONCATENATE($A6,BP$2),0),'Cadastro - Padrões'!$A$2:$T$1160,BP$1,FALSE)="","-",VLOOKUP(ROUND(CONCATENATE($A6,BP$2),0),'Cadastro - Padrões'!$A$2:$T$1160,BP$1,FALSE)))</f>
        <v>-</v>
      </c>
      <c r="BQ6" s="16" t="str">
        <f>IF($B6="-","-",IF(VLOOKUP(ROUND(CONCATENATE($A6,BQ$2),0),'Cadastro - Padrões'!$A$2:$T$1160,BQ$1,FALSE)="","-",VLOOKUP(ROUND(CONCATENATE($A6,BQ$2),0),'Cadastro - Padrões'!$A$2:$T$1160,BQ$1,FALSE)))</f>
        <v>-</v>
      </c>
      <c r="BR6" s="16" t="str">
        <f>IF($B6="-","-",IF(VLOOKUP(ROUND(CONCATENATE($A6,BR$2),0),'Cadastro - Padrões'!$A$2:$T$1160,BR$1,FALSE)="","-",VLOOKUP(ROUND(CONCATENATE($A6,BR$2),0),'Cadastro - Padrões'!$A$2:$T$1160,BR$1,FALSE)))</f>
        <v>-</v>
      </c>
      <c r="BS6" s="16" t="str">
        <f>IF($B6="-","-",IF(VLOOKUP(ROUND(CONCATENATE($A6,BS$2),0),'Cadastro - Padrões'!$A$2:$T$1160,BS$1,FALSE)="","-",VLOOKUP(ROUND(CONCATENATE($A6,BS$2),0),'Cadastro - Padrões'!$A$2:$T$1160,BS$1,FALSE)))</f>
        <v>-</v>
      </c>
      <c r="BT6" s="16" t="str">
        <f>IF($B6="-","-",IF(VLOOKUP(ROUND(CONCATENATE($A6,BT$2),0),'Cadastro - Padrões'!$A$2:$T$1160,BT$1,FALSE)="","-",VLOOKUP(ROUND(CONCATENATE($A6,BT$2),0),'Cadastro - Padrões'!$A$2:$T$1160,BT$1,FALSE)))</f>
        <v>-</v>
      </c>
      <c r="BU6" s="16" t="str">
        <f>IF($B6="-","-",IF(VLOOKUP(ROUND(CONCATENATE($A6,BU$2),0),'Cadastro - Padrões'!$A$2:$T$1160,BU$1,FALSE)="","-",VLOOKUP(ROUND(CONCATENATE($A6,BU$2),0),'Cadastro - Padrões'!$A$2:$T$1160,BU$1,FALSE)))</f>
        <v>-</v>
      </c>
      <c r="BV6" s="16" t="str">
        <f>IF($B6="-","-",IF(VLOOKUP(ROUND(CONCATENATE($A6,BV$2),0),'Cadastro - Padrões'!$A$2:$T$1160,BV$1,FALSE)="","-",VLOOKUP(ROUND(CONCATENATE($A6,BV$2),0),'Cadastro - Padrões'!$A$2:$T$1160,BV$1,FALSE)))</f>
        <v>-</v>
      </c>
      <c r="BW6" s="16" t="str">
        <f>IF($B6="-","-",IF(VLOOKUP(ROUND(CONCATENATE($A6,BW$2),0),'Cadastro - Padrões'!$A$2:$T$1160,BW$1,FALSE)="","-",VLOOKUP(ROUND(CONCATENATE($A6,BW$2),0),'Cadastro - Padrões'!$A$2:$T$1160,BW$1,FALSE)))</f>
        <v>-</v>
      </c>
      <c r="BX6" s="16" t="str">
        <f>IF($B6="-","-",IF(VLOOKUP(ROUND(CONCATENATE($A6,BX$2),0),'Cadastro - Padrões'!$A$2:$T$1160,BX$1,FALSE)="","-",VLOOKUP(ROUND(CONCATENATE($A6,BX$2),0),'Cadastro - Padrões'!$A$2:$T$1160,BX$1,FALSE)))</f>
        <v>-</v>
      </c>
      <c r="BY6" s="16" t="str">
        <f>IF($B6="-","-",IF(VLOOKUP(ROUND(CONCATENATE($A6,BY$2),0),'Cadastro - Padrões'!$A$2:$T$1160,BY$1,FALSE)="","-",VLOOKUP(ROUND(CONCATENATE($A6,BY$2),0),'Cadastro - Padrões'!$A$2:$T$1160,BY$1,FALSE)))</f>
        <v>-</v>
      </c>
      <c r="BZ6" s="16" t="str">
        <f>IF($B6="-","-",IF(VLOOKUP(ROUND(CONCATENATE($A6,BZ$2),0),'Cadastro - Padrões'!$A$2:$T$1160,BZ$1,FALSE)="","-",VLOOKUP(ROUND(CONCATENATE($A6,BZ$2),0),'Cadastro - Padrões'!$A$2:$T$1160,BZ$1,FALSE)))</f>
        <v>-</v>
      </c>
      <c r="CA6" s="16" t="str">
        <f>IF($B6="-","-",IF(VLOOKUP(ROUND(CONCATENATE($A6,CA$2),0),'Cadastro - Padrões'!$A$2:$T$1160,CA$1,FALSE)="","-",VLOOKUP(ROUND(CONCATENATE($A6,CA$2),0),'Cadastro - Padrões'!$A$2:$T$1160,CA$1,FALSE)))</f>
        <v>-</v>
      </c>
      <c r="CB6" s="16" t="str">
        <f>IF($B6="-","-",IF(VLOOKUP(ROUND(CONCATENATE($A6,CB$2),0),'Cadastro - Padrões'!$A$2:$T$1160,CB$1,FALSE)="","-",VLOOKUP(ROUND(CONCATENATE($A6,CB$2),0),'Cadastro - Padrões'!$A$2:$T$1160,CB$1,FALSE)))</f>
        <v>-</v>
      </c>
      <c r="CC6" s="16" t="str">
        <f>IF($B6="-","-",IF(VLOOKUP(ROUND(CONCATENATE($A6,CC$2),0),'Cadastro - Padrões'!$A$2:$T$1160,CC$1,FALSE)="","-",VLOOKUP(ROUND(CONCATENATE($A6,CC$2),0),'Cadastro - Padrões'!$A$2:$T$1160,CC$1,FALSE)))</f>
        <v>-</v>
      </c>
    </row>
    <row r="7" spans="1:81" x14ac:dyDescent="0.3">
      <c r="A7" s="15">
        <f>A6+1</f>
        <v>2</v>
      </c>
      <c r="B7" s="16" t="str">
        <f>IF(VLOOKUP(ROUND(CONCATENATE($A7,B$2),0),'Cadastro - Padrões'!$A$2:$T$1160,B$1,FALSE)="","-",VLOOKUP(ROUND(CONCATENATE($A7,B$2),0),'Cadastro - Padrões'!$A$2:$T$1160,B$1,FALSE))</f>
        <v>E.PS.FS-001</v>
      </c>
      <c r="C7" s="16" t="str">
        <f>IF(VLOOKUP(ROUND(CONCATENATE($A7,C$2),0),'Cadastro - Padrões'!$A$2:$T$1160,C$1,FALSE)="","-",VLOOKUP(ROUND(CONCATENATE($A7,C$2),0),'Cadastro - Padrões'!$A$2:$T$1160,C$1,FALSE))</f>
        <v>Barômetro Digital</v>
      </c>
      <c r="D7" s="16" t="str">
        <f>IF($B7="-","-",VLOOKUP(ROUND(CONCATENATE($A7,D$2),0),'Cadastro - Padrões'!$A$2:$T$1160,D$1,FALSE))</f>
        <v>ELUS</v>
      </c>
      <c r="E7" s="16" t="str">
        <f>IF($B7="-","-",VLOOKUP(ROUND(CONCATENATE($A7,E$2),0),'Cadastro - Padrões'!$A$2:$T$1160,E$1,FALSE))</f>
        <v>RBC - CAL 0439</v>
      </c>
      <c r="F7" s="16" t="str">
        <f>IF($B7="-","-",VLOOKUP(ROUND(CONCATENATE($A7,F$2),0),'Cadastro - Padrões'!$A$2:$T$1160,F$1,FALSE))</f>
        <v>E0627/25</v>
      </c>
      <c r="G7" s="17">
        <f>IF($B7="-","-",VLOOKUP(ROUND(CONCATENATE($A7,G$2),0),'Cadastro - Padrões'!$A$2:$T$1160,G$1,FALSE))</f>
        <v>45905</v>
      </c>
      <c r="H7" s="18">
        <f>IF($B7="-","-",VLOOKUP(ROUND(CONCATENATE($A7,H$2),0),'Cadastro - Padrões'!$A$2:$T$1160,H$1,FALSE))</f>
        <v>46295</v>
      </c>
      <c r="I7" s="16" t="str">
        <f>IF($B7="-","-",VLOOKUP(ROUND(CONCATENATE($A7,I$2),0),'Cadastro - Padrões'!$A$2:$T$1160,I$1,FALSE))</f>
        <v>hPa</v>
      </c>
      <c r="J7" s="16">
        <f>IF($B7="-","-",VLOOKUP(ROUND(CONCATENATE($A7,J$2),0),'Cadastro - Padrões'!$A$2:$T$1160,J$1,FALSE))</f>
        <v>801</v>
      </c>
      <c r="K7" s="16">
        <f>IF($B7="-","-",VLOOKUP(ROUND(CONCATENATE($A7,K$2),0),'Cadastro - Padrões'!$A$2:$T$1160,K$1,FALSE))</f>
        <v>1100</v>
      </c>
      <c r="L7" s="16">
        <f>IF($B7="-","-",VLOOKUP(ROUND(CONCATENATE($A7,L$2),0),'Cadastro - Padrões'!$A$2:$T$1160,L$1,FALSE))</f>
        <v>1</v>
      </c>
      <c r="M7" s="19">
        <f>IF($B7="-","-",VLOOKUP(ROUND(CONCATENATE($A7,M$2),0),'Cadastro - Padrões'!$A$2:$T$1160,M$1,FALSE))</f>
        <v>1</v>
      </c>
      <c r="N7" s="16">
        <f>IF($B7="-","-",VLOOKUP(ROUND(CONCATENATE($A7,N$2),0),'Cadastro - Padrões'!$A$2:$T$1160,N$1,FALSE))</f>
        <v>1</v>
      </c>
      <c r="O7" s="19">
        <f>IF($B7="-","-",VLOOKUP(ROUND(CONCATENATE($A7,O$2),0),'Cadastro - Padrões'!$A$2:$T$1160,O$1,FALSE))</f>
        <v>1</v>
      </c>
      <c r="P7" s="16">
        <f>IF($B7="-","-",VLOOKUP(ROUND(CONCATENATE($A7,P$2),0),'Cadastro - Padrões'!$A$2:$T$1160,P$1,FALSE))</f>
        <v>0.18420034618709938</v>
      </c>
      <c r="Q7" s="16">
        <f>IF($B7="-","-",VLOOKUP(ROUND(CONCATENATE($A7,Q$2),0),'Cadastro - Padrões'!$A$2:$T$1160,Q$1,FALSE))</f>
        <v>3</v>
      </c>
      <c r="R7" s="16">
        <f>IF($B7="-","-",VLOOKUP(ROUND(CONCATENATE($A7,R$2),0),'Cadastro - Padrões'!$A$2:$T$1160,R$1,FALSE))</f>
        <v>-2.3107083749117935E-7</v>
      </c>
      <c r="S7" s="16">
        <f>IF($B7="-","-",VLOOKUP(ROUND(CONCATENATE($A7,S$2),0),'Cadastro - Padrões'!$A$2:$T$1160,S$1,FALSE))</f>
        <v>6.3483257297121387E-4</v>
      </c>
      <c r="T7" s="16">
        <f>IF($B7="-","-",VLOOKUP(ROUND(CONCATENATE($A7,T$2),0),'Cadastro - Padrões'!$A$2:$T$1160,T$1,FALSE))</f>
        <v>0.42144865504733053</v>
      </c>
      <c r="U7" s="16">
        <f>IF($B7="-","-",VLOOKUP(ROUND(CONCATENATE($A7,U$2),0),'Cadastro - Padrões'!$A$2:$T$1160,U$1,FALSE))</f>
        <v>175.88221038859828</v>
      </c>
      <c r="V7" s="16">
        <f>IF($B7="-","-",IF(VLOOKUP(ROUND(CONCATENATE($A7,V$2),0),'Cadastro - Padrões'!$A$2:$T$1160,V$1,FALSE)="","-",VLOOKUP(ROUND(CONCATENATE($A7,V$2),0),'Cadastro - Padrões'!$A$2:$T$1160,V$1,FALSE)))</f>
        <v>801</v>
      </c>
      <c r="W7" s="16">
        <f>IF($B7="-","-",IF(VLOOKUP(ROUND(CONCATENATE($A7,W$2),0),'Cadastro - Padrões'!$A$2:$T$1160,W$1,FALSE)="","-",VLOOKUP(ROUND(CONCATENATE($A7,W$2),0),'Cadastro - Padrões'!$A$2:$T$1160,W$1,FALSE)))</f>
        <v>1</v>
      </c>
      <c r="X7" s="16">
        <f>IF($B7="-","-",IF(VLOOKUP(ROUND(CONCATENATE($A7,X$2),0),'Cadastro - Padrões'!$A$2:$T$1160,X$1,FALSE)="","-",VLOOKUP(ROUND(CONCATENATE($A7,X$2),0),'Cadastro - Padrões'!$A$2:$T$1160,X$1,FALSE)))</f>
        <v>2</v>
      </c>
      <c r="Y7" s="16">
        <f>IF($B7="-","-",IF(VLOOKUP(ROUND(CONCATENATE($A7,Y$2),0),'Cadastro - Padrões'!$A$2:$T$1160,Y$1,FALSE)="","-",VLOOKUP(ROUND(CONCATENATE($A7,Y$2),0),'Cadastro - Padrões'!$A$2:$T$1160,Y$1,FALSE)))</f>
        <v>1000000</v>
      </c>
      <c r="Z7" s="16">
        <f>IF($B7="-","-",IF(VLOOKUP(ROUND(CONCATENATE($A7,Z$2),0),'Cadastro - Padrões'!$A$2:$T$1160,Z$1,FALSE)="","-",VLOOKUP(ROUND(CONCATENATE($A7,Z$2),0),'Cadastro - Padrões'!$A$2:$T$1160,Z$1,FALSE)))</f>
        <v>881</v>
      </c>
      <c r="AA7" s="16">
        <f>IF($B7="-","-",IF(VLOOKUP(ROUND(CONCATENATE($A7,AA$2),0),'Cadastro - Padrões'!$A$2:$T$1160,AA$1,FALSE)="","-",VLOOKUP(ROUND(CONCATENATE($A7,AA$2),0),'Cadastro - Padrões'!$A$2:$T$1160,AA$1,FALSE)))</f>
        <v>1</v>
      </c>
      <c r="AB7" s="16">
        <f>IF($B7="-","-",IF(VLOOKUP(ROUND(CONCATENATE($A7,AB$2),0),'Cadastro - Padrões'!$A$2:$T$1160,AB$1,FALSE)="","-",VLOOKUP(ROUND(CONCATENATE($A7,AB$2),0),'Cadastro - Padrões'!$A$2:$T$1160,AB$1,FALSE)))</f>
        <v>2</v>
      </c>
      <c r="AC7" s="16">
        <f>IF($B7="-","-",IF(VLOOKUP(ROUND(CONCATENATE($A7,AC$2),0),'Cadastro - Padrões'!$A$2:$T$1160,AC$1,FALSE)="","-",VLOOKUP(ROUND(CONCATENATE($A7,AC$2),0),'Cadastro - Padrões'!$A$2:$T$1160,AC$1,FALSE)))</f>
        <v>1000000</v>
      </c>
      <c r="AD7" s="16">
        <f>IF($B7="-","-",IF(VLOOKUP(ROUND(CONCATENATE($A7,AD$2),0),'Cadastro - Padrões'!$A$2:$T$1160,AD$1,FALSE)="","-",VLOOKUP(ROUND(CONCATENATE($A7,AD$2),0),'Cadastro - Padrões'!$A$2:$T$1160,AD$1,FALSE)))</f>
        <v>961</v>
      </c>
      <c r="AE7" s="16">
        <f>IF($B7="-","-",IF(VLOOKUP(ROUND(CONCATENATE($A7,AE$2),0),'Cadastro - Padrões'!$A$2:$T$1160,AE$1,FALSE)="","-",VLOOKUP(ROUND(CONCATENATE($A7,AE$2),0),'Cadastro - Padrões'!$A$2:$T$1160,AE$1,FALSE)))</f>
        <v>1</v>
      </c>
      <c r="AF7" s="16">
        <f>IF($B7="-","-",IF(VLOOKUP(ROUND(CONCATENATE($A7,AF$2),0),'Cadastro - Padrões'!$A$2:$T$1160,AF$1,FALSE)="","-",VLOOKUP(ROUND(CONCATENATE($A7,AF$2),0),'Cadastro - Padrões'!$A$2:$T$1160,AF$1,FALSE)))</f>
        <v>2</v>
      </c>
      <c r="AG7" s="16">
        <f>IF($B7="-","-",IF(VLOOKUP(ROUND(CONCATENATE($A7,AG$2),0),'Cadastro - Padrões'!$A$2:$T$1160,AG$1,FALSE)="","-",VLOOKUP(ROUND(CONCATENATE($A7,AG$2),0),'Cadastro - Padrões'!$A$2:$T$1160,AG$1,FALSE)))</f>
        <v>1000000</v>
      </c>
      <c r="AH7" s="16">
        <f>IF($B7="-","-",IF(VLOOKUP(ROUND(CONCATENATE($A7,AH$2),0),'Cadastro - Padrões'!$A$2:$T$1160,AH$1,FALSE)="","-",VLOOKUP(ROUND(CONCATENATE($A7,AH$2),0),'Cadastro - Padrões'!$A$2:$T$1160,AH$1,FALSE)))</f>
        <v>1001</v>
      </c>
      <c r="AI7" s="16">
        <f>IF($B7="-","-",IF(VLOOKUP(ROUND(CONCATENATE($A7,AI$2),0),'Cadastro - Padrões'!$A$2:$T$1160,AI$1,FALSE)="","-",VLOOKUP(ROUND(CONCATENATE($A7,AI$2),0),'Cadastro - Padrões'!$A$2:$T$1160,AI$1,FALSE)))</f>
        <v>1</v>
      </c>
      <c r="AJ7" s="16">
        <f>IF($B7="-","-",IF(VLOOKUP(ROUND(CONCATENATE($A7,AJ$2),0),'Cadastro - Padrões'!$A$2:$T$1160,AJ$1,FALSE)="","-",VLOOKUP(ROUND(CONCATENATE($A7,AJ$2),0),'Cadastro - Padrões'!$A$2:$T$1160,AJ$1,FALSE)))</f>
        <v>2</v>
      </c>
      <c r="AK7" s="16">
        <f>IF($B7="-","-",IF(VLOOKUP(ROUND(CONCATENATE($A7,AK$2),0),'Cadastro - Padrões'!$A$2:$T$1160,AK$1,FALSE)="","-",VLOOKUP(ROUND(CONCATENATE($A7,AK$2),0),'Cadastro - Padrões'!$A$2:$T$1160,AK$1,FALSE)))</f>
        <v>1000000</v>
      </c>
      <c r="AL7" s="16">
        <f>IF($B7="-","-",IF(VLOOKUP(ROUND(CONCATENATE($A7,AL$2),0),'Cadastro - Padrões'!$A$2:$T$1160,AL$1,FALSE)="","-",VLOOKUP(ROUND(CONCATENATE($A7,AL$2),0),'Cadastro - Padrões'!$A$2:$T$1160,AL$1,FALSE)))</f>
        <v>1051</v>
      </c>
      <c r="AM7" s="16">
        <f>IF($B7="-","-",IF(VLOOKUP(ROUND(CONCATENATE($A7,AM$2),0),'Cadastro - Padrões'!$A$2:$T$1160,AM$1,FALSE)="","-",VLOOKUP(ROUND(CONCATENATE($A7,AM$2),0),'Cadastro - Padrões'!$A$2:$T$1160,AM$1,FALSE)))</f>
        <v>1</v>
      </c>
      <c r="AN7" s="16">
        <f>IF($B7="-","-",IF(VLOOKUP(ROUND(CONCATENATE($A7,AN$2),0),'Cadastro - Padrões'!$A$2:$T$1160,AN$1,FALSE)="","-",VLOOKUP(ROUND(CONCATENATE($A7,AN$2),0),'Cadastro - Padrões'!$A$2:$T$1160,AN$1,FALSE)))</f>
        <v>2</v>
      </c>
      <c r="AO7" s="16">
        <f>IF($B7="-","-",IF(VLOOKUP(ROUND(CONCATENATE($A7,AO$2),0),'Cadastro - Padrões'!$A$2:$T$1160,AO$1,FALSE)="","-",VLOOKUP(ROUND(CONCATENATE($A7,AO$2),0),'Cadastro - Padrões'!$A$2:$T$1160,AO$1,FALSE)))</f>
        <v>1000000</v>
      </c>
      <c r="AP7" s="16">
        <f>IF($B7="-","-",IF(VLOOKUP(ROUND(CONCATENATE($A7,AP$2),0),'Cadastro - Padrões'!$A$2:$T$1160,AP$1,FALSE)="","-",VLOOKUP(ROUND(CONCATENATE($A7,AP$2),0),'Cadastro - Padrões'!$A$2:$T$1160,AP$1,FALSE)))</f>
        <v>1100</v>
      </c>
      <c r="AQ7" s="16">
        <f>IF($B7="-","-",IF(VLOOKUP(ROUND(CONCATENATE($A7,AQ$2),0),'Cadastro - Padrões'!$A$2:$T$1160,AQ$1,FALSE)="","-",VLOOKUP(ROUND(CONCATENATE($A7,AQ$2),0),'Cadastro - Padrões'!$A$2:$T$1160,AQ$1,FALSE)))</f>
        <v>1</v>
      </c>
      <c r="AR7" s="16">
        <f>IF($B7="-","-",IF(VLOOKUP(ROUND(CONCATENATE($A7,AR$2),0),'Cadastro - Padrões'!$A$2:$T$1160,AR$1,FALSE)="","-",VLOOKUP(ROUND(CONCATENATE($A7,AR$2),0),'Cadastro - Padrões'!$A$2:$T$1160,AR$1,FALSE)))</f>
        <v>2</v>
      </c>
      <c r="AS7" s="16">
        <f>IF($B7="-","-",IF(VLOOKUP(ROUND(CONCATENATE($A7,AS$2),0),'Cadastro - Padrões'!$A$2:$T$1160,AS$1,FALSE)="","-",VLOOKUP(ROUND(CONCATENATE($A7,AS$2),0),'Cadastro - Padrões'!$A$2:$T$1160,AS$1,FALSE)))</f>
        <v>1000000</v>
      </c>
      <c r="AT7" s="16" t="str">
        <f>IF($B7="-","-",IF(VLOOKUP(ROUND(CONCATENATE($A7,AT$2),0),'Cadastro - Padrões'!$A$2:$T$1160,AT$1,FALSE)="","-",VLOOKUP(ROUND(CONCATENATE($A7,AT$2),0),'Cadastro - Padrões'!$A$2:$T$1160,AT$1,FALSE)))</f>
        <v>-</v>
      </c>
      <c r="AU7" s="16" t="str">
        <f>IF($B7="-","-",IF(VLOOKUP(ROUND(CONCATENATE($A7,AU$2),0),'Cadastro - Padrões'!$A$2:$T$1160,AU$1,FALSE)="","-",VLOOKUP(ROUND(CONCATENATE($A7,AU$2),0),'Cadastro - Padrões'!$A$2:$T$1160,AU$1,FALSE)))</f>
        <v>-</v>
      </c>
      <c r="AV7" s="16" t="str">
        <f>IF($B7="-","-",IF(VLOOKUP(ROUND(CONCATENATE($A7,AV$2),0),'Cadastro - Padrões'!$A$2:$T$1160,AV$1,FALSE)="","-",VLOOKUP(ROUND(CONCATENATE($A7,AV$2),0),'Cadastro - Padrões'!$A$2:$T$1160,AV$1,FALSE)))</f>
        <v>-</v>
      </c>
      <c r="AW7" s="16" t="str">
        <f>IF($B7="-","-",IF(VLOOKUP(ROUND(CONCATENATE($A7,AW$2),0),'Cadastro - Padrões'!$A$2:$T$1160,AW$1,FALSE)="","-",VLOOKUP(ROUND(CONCATENATE($A7,AW$2),0),'Cadastro - Padrões'!$A$2:$T$1160,AW$1,FALSE)))</f>
        <v>-</v>
      </c>
      <c r="AX7" s="16" t="str">
        <f>IF($B7="-","-",IF(VLOOKUP(ROUND(CONCATENATE($A7,AX$2),0),'Cadastro - Padrões'!$A$2:$T$1160,AX$1,FALSE)="","-",VLOOKUP(ROUND(CONCATENATE($A7,AX$2),0),'Cadastro - Padrões'!$A$2:$T$1160,AX$1,FALSE)))</f>
        <v>-</v>
      </c>
      <c r="AY7" s="16" t="str">
        <f>IF($B7="-","-",IF(VLOOKUP(ROUND(CONCATENATE($A7,AY$2),0),'Cadastro - Padrões'!$A$2:$T$1160,AY$1,FALSE)="","-",VLOOKUP(ROUND(CONCATENATE($A7,AY$2),0),'Cadastro - Padrões'!$A$2:$T$1160,AY$1,FALSE)))</f>
        <v>-</v>
      </c>
      <c r="AZ7" s="16" t="str">
        <f>IF($B7="-","-",IF(VLOOKUP(ROUND(CONCATENATE($A7,AZ$2),0),'Cadastro - Padrões'!$A$2:$T$1160,AZ$1,FALSE)="","-",VLOOKUP(ROUND(CONCATENATE($A7,AZ$2),0),'Cadastro - Padrões'!$A$2:$T$1160,AZ$1,FALSE)))</f>
        <v>-</v>
      </c>
      <c r="BA7" s="16" t="str">
        <f>IF($B7="-","-",IF(VLOOKUP(ROUND(CONCATENATE($A7,BA$2),0),'Cadastro - Padrões'!$A$2:$T$1160,BA$1,FALSE)="","-",VLOOKUP(ROUND(CONCATENATE($A7,BA$2),0),'Cadastro - Padrões'!$A$2:$T$1160,BA$1,FALSE)))</f>
        <v>-</v>
      </c>
      <c r="BB7" s="16" t="str">
        <f>IF($B7="-","-",IF(VLOOKUP(ROUND(CONCATENATE($A7,BB$2),0),'Cadastro - Padrões'!$A$2:$T$1160,BB$1,FALSE)="","-",VLOOKUP(ROUND(CONCATENATE($A7,BB$2),0),'Cadastro - Padrões'!$A$2:$T$1160,BB$1,FALSE)))</f>
        <v>-</v>
      </c>
      <c r="BC7" s="16" t="str">
        <f>IF($B7="-","-",IF(VLOOKUP(ROUND(CONCATENATE($A7,BC$2),0),'Cadastro - Padrões'!$A$2:$T$1160,BC$1,FALSE)="","-",VLOOKUP(ROUND(CONCATENATE($A7,BC$2),0),'Cadastro - Padrões'!$A$2:$T$1160,BC$1,FALSE)))</f>
        <v>-</v>
      </c>
      <c r="BD7" s="16" t="str">
        <f>IF($B7="-","-",IF(VLOOKUP(ROUND(CONCATENATE($A7,BD$2),0),'Cadastro - Padrões'!$A$2:$T$1160,BD$1,FALSE)="","-",VLOOKUP(ROUND(CONCATENATE($A7,BD$2),0),'Cadastro - Padrões'!$A$2:$T$1160,BD$1,FALSE)))</f>
        <v>-</v>
      </c>
      <c r="BE7" s="16" t="str">
        <f>IF($B7="-","-",IF(VLOOKUP(ROUND(CONCATENATE($A7,BE$2),0),'Cadastro - Padrões'!$A$2:$T$1160,BE$1,FALSE)="","-",VLOOKUP(ROUND(CONCATENATE($A7,BE$2),0),'Cadastro - Padrões'!$A$2:$T$1160,BE$1,FALSE)))</f>
        <v>-</v>
      </c>
      <c r="BF7" s="16" t="str">
        <f>IF($B7="-","-",IF(VLOOKUP(ROUND(CONCATENATE($A7,BF$2),0),'Cadastro - Padrões'!$A$2:$T$1160,BF$1,FALSE)="","-",VLOOKUP(ROUND(CONCATENATE($A7,BF$2),0),'Cadastro - Padrões'!$A$2:$T$1160,BF$1,FALSE)))</f>
        <v>-</v>
      </c>
      <c r="BG7" s="16" t="str">
        <f>IF($B7="-","-",IF(VLOOKUP(ROUND(CONCATENATE($A7,BG$2),0),'Cadastro - Padrões'!$A$2:$T$1160,BG$1,FALSE)="","-",VLOOKUP(ROUND(CONCATENATE($A7,BG$2),0),'Cadastro - Padrões'!$A$2:$T$1160,BG$1,FALSE)))</f>
        <v>-</v>
      </c>
      <c r="BH7" s="16" t="str">
        <f>IF($B7="-","-",IF(VLOOKUP(ROUND(CONCATENATE($A7,BH$2),0),'Cadastro - Padrões'!$A$2:$T$1160,BH$1,FALSE)="","-",VLOOKUP(ROUND(CONCATENATE($A7,BH$2),0),'Cadastro - Padrões'!$A$2:$T$1160,BH$1,FALSE)))</f>
        <v>-</v>
      </c>
      <c r="BI7" s="16" t="str">
        <f>IF($B7="-","-",IF(VLOOKUP(ROUND(CONCATENATE($A7,BI$2),0),'Cadastro - Padrões'!$A$2:$T$1160,BI$1,FALSE)="","-",VLOOKUP(ROUND(CONCATENATE($A7,BI$2),0),'Cadastro - Padrões'!$A$2:$T$1160,BI$1,FALSE)))</f>
        <v>-</v>
      </c>
      <c r="BJ7" s="16" t="str">
        <f>IF($B7="-","-",IF(VLOOKUP(ROUND(CONCATENATE($A7,BJ$2),0),'Cadastro - Padrões'!$A$2:$T$1160,BJ$1,FALSE)="","-",VLOOKUP(ROUND(CONCATENATE($A7,BJ$2),0),'Cadastro - Padrões'!$A$2:$T$1160,BJ$1,FALSE)))</f>
        <v>-</v>
      </c>
      <c r="BK7" s="16" t="str">
        <f>IF($B7="-","-",IF(VLOOKUP(ROUND(CONCATENATE($A7,BK$2),0),'Cadastro - Padrões'!$A$2:$T$1160,BK$1,FALSE)="","-",VLOOKUP(ROUND(CONCATENATE($A7,BK$2),0),'Cadastro - Padrões'!$A$2:$T$1160,BK$1,FALSE)))</f>
        <v>-</v>
      </c>
      <c r="BL7" s="16" t="str">
        <f>IF($B7="-","-",IF(VLOOKUP(ROUND(CONCATENATE($A7,BL$2),0),'Cadastro - Padrões'!$A$2:$T$1160,BL$1,FALSE)="","-",VLOOKUP(ROUND(CONCATENATE($A7,BL$2),0),'Cadastro - Padrões'!$A$2:$T$1160,BL$1,FALSE)))</f>
        <v>-</v>
      </c>
      <c r="BM7" s="16" t="str">
        <f>IF($B7="-","-",IF(VLOOKUP(ROUND(CONCATENATE($A7,BM$2),0),'Cadastro - Padrões'!$A$2:$T$1160,BM$1,FALSE)="","-",VLOOKUP(ROUND(CONCATENATE($A7,BM$2),0),'Cadastro - Padrões'!$A$2:$T$1160,BM$1,FALSE)))</f>
        <v>-</v>
      </c>
      <c r="BN7" s="16" t="str">
        <f>IF($B7="-","-",IF(VLOOKUP(ROUND(CONCATENATE($A7,BN$2),0),'Cadastro - Padrões'!$A$2:$T$1160,BN$1,FALSE)="","-",VLOOKUP(ROUND(CONCATENATE($A7,BN$2),0),'Cadastro - Padrões'!$A$2:$T$1160,BN$1,FALSE)))</f>
        <v>-</v>
      </c>
      <c r="BO7" s="16" t="str">
        <f>IF($B7="-","-",IF(VLOOKUP(ROUND(CONCATENATE($A7,BO$2),0),'Cadastro - Padrões'!$A$2:$T$1160,BO$1,FALSE)="","-",VLOOKUP(ROUND(CONCATENATE($A7,BO$2),0),'Cadastro - Padrões'!$A$2:$T$1160,BO$1,FALSE)))</f>
        <v>-</v>
      </c>
      <c r="BP7" s="16" t="str">
        <f>IF($B7="-","-",IF(VLOOKUP(ROUND(CONCATENATE($A7,BP$2),0),'Cadastro - Padrões'!$A$2:$T$1160,BP$1,FALSE)="","-",VLOOKUP(ROUND(CONCATENATE($A7,BP$2),0),'Cadastro - Padrões'!$A$2:$T$1160,BP$1,FALSE)))</f>
        <v>-</v>
      </c>
      <c r="BQ7" s="16" t="str">
        <f>IF($B7="-","-",IF(VLOOKUP(ROUND(CONCATENATE($A7,BQ$2),0),'Cadastro - Padrões'!$A$2:$T$1160,BQ$1,FALSE)="","-",VLOOKUP(ROUND(CONCATENATE($A7,BQ$2),0),'Cadastro - Padrões'!$A$2:$T$1160,BQ$1,FALSE)))</f>
        <v>-</v>
      </c>
      <c r="BR7" s="16" t="str">
        <f>IF($B7="-","-",IF(VLOOKUP(ROUND(CONCATENATE($A7,BR$2),0),'Cadastro - Padrões'!$A$2:$T$1160,BR$1,FALSE)="","-",VLOOKUP(ROUND(CONCATENATE($A7,BR$2),0),'Cadastro - Padrões'!$A$2:$T$1160,BR$1,FALSE)))</f>
        <v>-</v>
      </c>
      <c r="BS7" s="16" t="str">
        <f>IF($B7="-","-",IF(VLOOKUP(ROUND(CONCATENATE($A7,BS$2),0),'Cadastro - Padrões'!$A$2:$T$1160,BS$1,FALSE)="","-",VLOOKUP(ROUND(CONCATENATE($A7,BS$2),0),'Cadastro - Padrões'!$A$2:$T$1160,BS$1,FALSE)))</f>
        <v>-</v>
      </c>
      <c r="BT7" s="16" t="str">
        <f>IF($B7="-","-",IF(VLOOKUP(ROUND(CONCATENATE($A7,BT$2),0),'Cadastro - Padrões'!$A$2:$T$1160,BT$1,FALSE)="","-",VLOOKUP(ROUND(CONCATENATE($A7,BT$2),0),'Cadastro - Padrões'!$A$2:$T$1160,BT$1,FALSE)))</f>
        <v>-</v>
      </c>
      <c r="BU7" s="16" t="str">
        <f>IF($B7="-","-",IF(VLOOKUP(ROUND(CONCATENATE($A7,BU$2),0),'Cadastro - Padrões'!$A$2:$T$1160,BU$1,FALSE)="","-",VLOOKUP(ROUND(CONCATENATE($A7,BU$2),0),'Cadastro - Padrões'!$A$2:$T$1160,BU$1,FALSE)))</f>
        <v>-</v>
      </c>
      <c r="BV7" s="16" t="str">
        <f>IF($B7="-","-",IF(VLOOKUP(ROUND(CONCATENATE($A7,BV$2),0),'Cadastro - Padrões'!$A$2:$T$1160,BV$1,FALSE)="","-",VLOOKUP(ROUND(CONCATENATE($A7,BV$2),0),'Cadastro - Padrões'!$A$2:$T$1160,BV$1,FALSE)))</f>
        <v>-</v>
      </c>
      <c r="BW7" s="16" t="str">
        <f>IF($B7="-","-",IF(VLOOKUP(ROUND(CONCATENATE($A7,BW$2),0),'Cadastro - Padrões'!$A$2:$T$1160,BW$1,FALSE)="","-",VLOOKUP(ROUND(CONCATENATE($A7,BW$2),0),'Cadastro - Padrões'!$A$2:$T$1160,BW$1,FALSE)))</f>
        <v>-</v>
      </c>
      <c r="BX7" s="16" t="str">
        <f>IF($B7="-","-",IF(VLOOKUP(ROUND(CONCATENATE($A7,BX$2),0),'Cadastro - Padrões'!$A$2:$T$1160,BX$1,FALSE)="","-",VLOOKUP(ROUND(CONCATENATE($A7,BX$2),0),'Cadastro - Padrões'!$A$2:$T$1160,BX$1,FALSE)))</f>
        <v>-</v>
      </c>
      <c r="BY7" s="16" t="str">
        <f>IF($B7="-","-",IF(VLOOKUP(ROUND(CONCATENATE($A7,BY$2),0),'Cadastro - Padrões'!$A$2:$T$1160,BY$1,FALSE)="","-",VLOOKUP(ROUND(CONCATENATE($A7,BY$2),0),'Cadastro - Padrões'!$A$2:$T$1160,BY$1,FALSE)))</f>
        <v>-</v>
      </c>
      <c r="BZ7" s="16" t="str">
        <f>IF($B7="-","-",IF(VLOOKUP(ROUND(CONCATENATE($A7,BZ$2),0),'Cadastro - Padrões'!$A$2:$T$1160,BZ$1,FALSE)="","-",VLOOKUP(ROUND(CONCATENATE($A7,BZ$2),0),'Cadastro - Padrões'!$A$2:$T$1160,BZ$1,FALSE)))</f>
        <v>-</v>
      </c>
      <c r="CA7" s="16" t="str">
        <f>IF($B7="-","-",IF(VLOOKUP(ROUND(CONCATENATE($A7,CA$2),0),'Cadastro - Padrões'!$A$2:$T$1160,CA$1,FALSE)="","-",VLOOKUP(ROUND(CONCATENATE($A7,CA$2),0),'Cadastro - Padrões'!$A$2:$T$1160,CA$1,FALSE)))</f>
        <v>-</v>
      </c>
      <c r="CB7" s="16" t="str">
        <f>IF($B7="-","-",IF(VLOOKUP(ROUND(CONCATENATE($A7,CB$2),0),'Cadastro - Padrões'!$A$2:$T$1160,CB$1,FALSE)="","-",VLOOKUP(ROUND(CONCATENATE($A7,CB$2),0),'Cadastro - Padrões'!$A$2:$T$1160,CB$1,FALSE)))</f>
        <v>-</v>
      </c>
      <c r="CC7" s="16" t="str">
        <f>IF($B7="-","-",IF(VLOOKUP(ROUND(CONCATENATE($A7,CC$2),0),'Cadastro - Padrões'!$A$2:$T$1160,CC$1,FALSE)="","-",VLOOKUP(ROUND(CONCATENATE($A7,CC$2),0),'Cadastro - Padrões'!$A$2:$T$1160,CC$1,FALSE)))</f>
        <v>-</v>
      </c>
    </row>
    <row r="8" spans="1:81" x14ac:dyDescent="0.3">
      <c r="A8" s="15">
        <f t="shared" ref="A8:A25" si="82">A7+1</f>
        <v>3</v>
      </c>
      <c r="B8" s="16" t="str">
        <f>IF(VLOOKUP(ROUND(CONCATENATE($A8,B$2),0),'Cadastro - Padrões'!$A$2:$T$1160,B$1,FALSE)="","-",VLOOKUP(ROUND(CONCATENATE($A8,B$2),0),'Cadastro - Padrões'!$A$2:$T$1160,B$1,FALSE))</f>
        <v>E.PS.FS-002</v>
      </c>
      <c r="C8" s="16" t="str">
        <f>IF(VLOOKUP(ROUND(CONCATENATE($A8,C$2),0),'Cadastro - Padrões'!$A$2:$T$1160,C$1,FALSE)="","-",VLOOKUP(ROUND(CONCATENATE($A8,C$2),0),'Cadastro - Padrões'!$A$2:$T$1160,C$1,FALSE))</f>
        <v>Barômetro Digital</v>
      </c>
      <c r="D8" s="16" t="str">
        <f>IF($B8="-","-",VLOOKUP(ROUND(CONCATENATE($A8,D$2),0),'Cadastro - Padrões'!$A$2:$T$1160,D$1,FALSE))</f>
        <v>Elus</v>
      </c>
      <c r="E8" s="16" t="str">
        <f>IF($B8="-","-",VLOOKUP(ROUND(CONCATENATE($A8,E$2),0),'Cadastro - Padrões'!$A$2:$T$1160,E$1,FALSE))</f>
        <v>RBC - CAL 0439</v>
      </c>
      <c r="F8" s="16" t="str">
        <f>IF($B8="-","-",VLOOKUP(ROUND(CONCATENATE($A8,F$2),0),'Cadastro - Padrões'!$A$2:$T$1160,F$1,FALSE))</f>
        <v>E0652/25</v>
      </c>
      <c r="G8" s="17">
        <f>IF($B8="-","-",VLOOKUP(ROUND(CONCATENATE($A8,G$2),0),'Cadastro - Padrões'!$A$2:$T$1160,G$1,FALSE))</f>
        <v>45917</v>
      </c>
      <c r="H8" s="18">
        <f>IF($B8="-","-",VLOOKUP(ROUND(CONCATENATE($A8,H$2),0),'Cadastro - Padrões'!$A$2:$T$1160,H$1,FALSE))</f>
        <v>46295</v>
      </c>
      <c r="I8" s="16" t="str">
        <f>IF($B8="-","-",VLOOKUP(ROUND(CONCATENATE($A8,I$2),0),'Cadastro - Padrões'!$A$2:$T$1160,I$1,FALSE))</f>
        <v>hPa</v>
      </c>
      <c r="J8" s="16">
        <f>IF($B8="-","-",VLOOKUP(ROUND(CONCATENATE($A8,J$2),0),'Cadastro - Padrões'!$A$2:$T$1160,J$1,FALSE))</f>
        <v>799.9</v>
      </c>
      <c r="K8" s="16">
        <f>IF($B8="-","-",VLOOKUP(ROUND(CONCATENATE($A8,K$2),0),'Cadastro - Padrões'!$A$2:$T$1160,K$1,FALSE))</f>
        <v>1050</v>
      </c>
      <c r="L8" s="16">
        <f>IF($B8="-","-",VLOOKUP(ROUND(CONCATENATE($A8,L$2),0),'Cadastro - Padrões'!$A$2:$T$1160,L$1,FALSE))</f>
        <v>0.1</v>
      </c>
      <c r="M8" s="19">
        <f>IF($B8="-","-",VLOOKUP(ROUND(CONCATENATE($A8,M$2),0),'Cadastro - Padrões'!$A$2:$T$1160,M$1,FALSE))</f>
        <v>1.7999999999999545</v>
      </c>
      <c r="N8" s="16">
        <f>IF($B8="-","-",VLOOKUP(ROUND(CONCATENATE($A8,N$2),0),'Cadastro - Padrões'!$A$2:$T$1160,N$1,FALSE))</f>
        <v>0.3</v>
      </c>
      <c r="O8" s="19">
        <f>IF($B8="-","-",VLOOKUP(ROUND(CONCATENATE($A8,O$2),0),'Cadastro - Padrões'!$A$2:$T$1160,O$1,FALSE))</f>
        <v>0.29999999999995453</v>
      </c>
      <c r="P8" s="16">
        <f>IF($B8="-","-",VLOOKUP(ROUND(CONCATENATE($A8,P$2),0),'Cadastro - Padrões'!$A$2:$T$1160,P$1,FALSE))</f>
        <v>3.9848709513484896E-2</v>
      </c>
      <c r="Q8" s="16">
        <f>IF($B8="-","-",VLOOKUP(ROUND(CONCATENATE($A8,Q$2),0),'Cadastro - Padrões'!$A$2:$T$1160,Q$1,FALSE))</f>
        <v>3</v>
      </c>
      <c r="R8" s="16">
        <f>IF($B8="-","-",VLOOKUP(ROUND(CONCATENATE($A8,R$2),0),'Cadastro - Padrões'!$A$2:$T$1160,R$1,FALSE))</f>
        <v>1.9799577877805459E-7</v>
      </c>
      <c r="S8" s="16">
        <f>IF($B8="-","-",VLOOKUP(ROUND(CONCATENATE($A8,S$2),0),'Cadastro - Padrões'!$A$2:$T$1160,S$1,FALSE))</f>
        <v>-5.2199501064470032E-4</v>
      </c>
      <c r="T8" s="16">
        <f>IF($B8="-","-",VLOOKUP(ROUND(CONCATENATE($A8,T$2),0),'Cadastro - Padrões'!$A$2:$T$1160,T$1,FALSE))</f>
        <v>1.447998793731057</v>
      </c>
      <c r="U8" s="16">
        <f>IF($B8="-","-",VLOOKUP(ROUND(CONCATENATE($A8,U$2),0),'Cadastro - Padrões'!$A$2:$T$1160,U$1,FALSE))</f>
        <v>-123.89991714488653</v>
      </c>
      <c r="V8" s="16">
        <f>IF($B8="-","-",IF(VLOOKUP(ROUND(CONCATENATE($A8,V$2),0),'Cadastro - Padrões'!$A$2:$T$1160,V$1,FALSE)="","-",VLOOKUP(ROUND(CONCATENATE($A8,V$2),0),'Cadastro - Padrões'!$A$2:$T$1160,V$1,FALSE)))</f>
        <v>799.9</v>
      </c>
      <c r="W8" s="16">
        <f>IF($B8="-","-",IF(VLOOKUP(ROUND(CONCATENATE($A8,W$2),0),'Cadastro - Padrões'!$A$2:$T$1160,W$1,FALSE)="","-",VLOOKUP(ROUND(CONCATENATE($A8,W$2),0),'Cadastro - Padrões'!$A$2:$T$1160,W$1,FALSE)))</f>
        <v>0.3</v>
      </c>
      <c r="X8" s="16">
        <f>IF($B8="-","-",IF(VLOOKUP(ROUND(CONCATENATE($A8,X$2),0),'Cadastro - Padrões'!$A$2:$T$1160,X$1,FALSE)="","-",VLOOKUP(ROUND(CONCATENATE($A8,X$2),0),'Cadastro - Padrões'!$A$2:$T$1160,X$1,FALSE)))</f>
        <v>2</v>
      </c>
      <c r="Y8" s="16">
        <f>IF($B8="-","-",IF(VLOOKUP(ROUND(CONCATENATE($A8,Y$2),0),'Cadastro - Padrões'!$A$2:$T$1160,Y$1,FALSE)="","-",VLOOKUP(ROUND(CONCATENATE($A8,Y$2),0),'Cadastro - Padrões'!$A$2:$T$1160,Y$1,FALSE)))</f>
        <v>1000000</v>
      </c>
      <c r="Z8" s="16">
        <f>IF($B8="-","-",IF(VLOOKUP(ROUND(CONCATENATE($A8,Z$2),0),'Cadastro - Padrões'!$A$2:$T$1160,Z$1,FALSE)="","-",VLOOKUP(ROUND(CONCATENATE($A8,Z$2),0),'Cadastro - Padrões'!$A$2:$T$1160,Z$1,FALSE)))</f>
        <v>849.9</v>
      </c>
      <c r="AA8" s="16">
        <f>IF($B8="-","-",IF(VLOOKUP(ROUND(CONCATENATE($A8,AA$2),0),'Cadastro - Padrões'!$A$2:$T$1160,AA$1,FALSE)="","-",VLOOKUP(ROUND(CONCATENATE($A8,AA$2),0),'Cadastro - Padrões'!$A$2:$T$1160,AA$1,FALSE)))</f>
        <v>0.3</v>
      </c>
      <c r="AB8" s="16">
        <f>IF($B8="-","-",IF(VLOOKUP(ROUND(CONCATENATE($A8,AB$2),0),'Cadastro - Padrões'!$A$2:$T$1160,AB$1,FALSE)="","-",VLOOKUP(ROUND(CONCATENATE($A8,AB$2),0),'Cadastro - Padrões'!$A$2:$T$1160,AB$1,FALSE)))</f>
        <v>2</v>
      </c>
      <c r="AC8" s="16">
        <f>IF($B8="-","-",IF(VLOOKUP(ROUND(CONCATENATE($A8,AC$2),0),'Cadastro - Padrões'!$A$2:$T$1160,AC$1,FALSE)="","-",VLOOKUP(ROUND(CONCATENATE($A8,AC$2),0),'Cadastro - Padrões'!$A$2:$T$1160,AC$1,FALSE)))</f>
        <v>1000000</v>
      </c>
      <c r="AD8" s="16">
        <f>IF($B8="-","-",IF(VLOOKUP(ROUND(CONCATENATE($A8,AD$2),0),'Cadastro - Padrões'!$A$2:$T$1160,AD$1,FALSE)="","-",VLOOKUP(ROUND(CONCATENATE($A8,AD$2),0),'Cadastro - Padrões'!$A$2:$T$1160,AD$1,FALSE)))</f>
        <v>899.9</v>
      </c>
      <c r="AE8" s="16">
        <f>IF($B8="-","-",IF(VLOOKUP(ROUND(CONCATENATE($A8,AE$2),0),'Cadastro - Padrões'!$A$2:$T$1160,AE$1,FALSE)="","-",VLOOKUP(ROUND(CONCATENATE($A8,AE$2),0),'Cadastro - Padrões'!$A$2:$T$1160,AE$1,FALSE)))</f>
        <v>0.3</v>
      </c>
      <c r="AF8" s="16">
        <f>IF($B8="-","-",IF(VLOOKUP(ROUND(CONCATENATE($A8,AF$2),0),'Cadastro - Padrões'!$A$2:$T$1160,AF$1,FALSE)="","-",VLOOKUP(ROUND(CONCATENATE($A8,AF$2),0),'Cadastro - Padrões'!$A$2:$T$1160,AF$1,FALSE)))</f>
        <v>2</v>
      </c>
      <c r="AG8" s="16">
        <f>IF($B8="-","-",IF(VLOOKUP(ROUND(CONCATENATE($A8,AG$2),0),'Cadastro - Padrões'!$A$2:$T$1160,AG$1,FALSE)="","-",VLOOKUP(ROUND(CONCATENATE($A8,AG$2),0),'Cadastro - Padrões'!$A$2:$T$1160,AG$1,FALSE)))</f>
        <v>1000000</v>
      </c>
      <c r="AH8" s="16">
        <f>IF($B8="-","-",IF(VLOOKUP(ROUND(CONCATENATE($A8,AH$2),0),'Cadastro - Padrões'!$A$2:$T$1160,AH$1,FALSE)="","-",VLOOKUP(ROUND(CONCATENATE($A8,AH$2),0),'Cadastro - Padrões'!$A$2:$T$1160,AH$1,FALSE)))</f>
        <v>929.9</v>
      </c>
      <c r="AI8" s="16">
        <f>IF($B8="-","-",IF(VLOOKUP(ROUND(CONCATENATE($A8,AI$2),0),'Cadastro - Padrões'!$A$2:$T$1160,AI$1,FALSE)="","-",VLOOKUP(ROUND(CONCATENATE($A8,AI$2),0),'Cadastro - Padrões'!$A$2:$T$1160,AI$1,FALSE)))</f>
        <v>0.3</v>
      </c>
      <c r="AJ8" s="16">
        <f>IF($B8="-","-",IF(VLOOKUP(ROUND(CONCATENATE($A8,AJ$2),0),'Cadastro - Padrões'!$A$2:$T$1160,AJ$1,FALSE)="","-",VLOOKUP(ROUND(CONCATENATE($A8,AJ$2),0),'Cadastro - Padrões'!$A$2:$T$1160,AJ$1,FALSE)))</f>
        <v>2</v>
      </c>
      <c r="AK8" s="16">
        <f>IF($B8="-","-",IF(VLOOKUP(ROUND(CONCATENATE($A8,AK$2),0),'Cadastro - Padrões'!$A$2:$T$1160,AK$1,FALSE)="","-",VLOOKUP(ROUND(CONCATENATE($A8,AK$2),0),'Cadastro - Padrões'!$A$2:$T$1160,AK$1,FALSE)))</f>
        <v>1000000</v>
      </c>
      <c r="AL8" s="16">
        <f>IF($B8="-","-",IF(VLOOKUP(ROUND(CONCATENATE($A8,AL$2),0),'Cadastro - Padrões'!$A$2:$T$1160,AL$1,FALSE)="","-",VLOOKUP(ROUND(CONCATENATE($A8,AL$2),0),'Cadastro - Padrões'!$A$2:$T$1160,AL$1,FALSE)))</f>
        <v>949.9</v>
      </c>
      <c r="AM8" s="16">
        <f>IF($B8="-","-",IF(VLOOKUP(ROUND(CONCATENATE($A8,AM$2),0),'Cadastro - Padrões'!$A$2:$T$1160,AM$1,FALSE)="","-",VLOOKUP(ROUND(CONCATENATE($A8,AM$2),0),'Cadastro - Padrões'!$A$2:$T$1160,AM$1,FALSE)))</f>
        <v>0.3</v>
      </c>
      <c r="AN8" s="16">
        <f>IF($B8="-","-",IF(VLOOKUP(ROUND(CONCATENATE($A8,AN$2),0),'Cadastro - Padrões'!$A$2:$T$1160,AN$1,FALSE)="","-",VLOOKUP(ROUND(CONCATENATE($A8,AN$2),0),'Cadastro - Padrões'!$A$2:$T$1160,AN$1,FALSE)))</f>
        <v>2</v>
      </c>
      <c r="AO8" s="16">
        <f>IF($B8="-","-",IF(VLOOKUP(ROUND(CONCATENATE($A8,AO$2),0),'Cadastro - Padrões'!$A$2:$T$1160,AO$1,FALSE)="","-",VLOOKUP(ROUND(CONCATENATE($A8,AO$2),0),'Cadastro - Padrões'!$A$2:$T$1160,AO$1,FALSE)))</f>
        <v>1000000</v>
      </c>
      <c r="AP8" s="16">
        <f>IF($B8="-","-",IF(VLOOKUP(ROUND(CONCATENATE($A8,AP$2),0),'Cadastro - Padrões'!$A$2:$T$1160,AP$1,FALSE)="","-",VLOOKUP(ROUND(CONCATENATE($A8,AP$2),0),'Cadastro - Padrões'!$A$2:$T$1160,AP$1,FALSE)))</f>
        <v>999.9</v>
      </c>
      <c r="AQ8" s="16">
        <f>IF($B8="-","-",IF(VLOOKUP(ROUND(CONCATENATE($A8,AQ$2),0),'Cadastro - Padrões'!$A$2:$T$1160,AQ$1,FALSE)="","-",VLOOKUP(ROUND(CONCATENATE($A8,AQ$2),0),'Cadastro - Padrões'!$A$2:$T$1160,AQ$1,FALSE)))</f>
        <v>0.3</v>
      </c>
      <c r="AR8" s="16">
        <f>IF($B8="-","-",IF(VLOOKUP(ROUND(CONCATENATE($A8,AR$2),0),'Cadastro - Padrões'!$A$2:$T$1160,AR$1,FALSE)="","-",VLOOKUP(ROUND(CONCATENATE($A8,AR$2),0),'Cadastro - Padrões'!$A$2:$T$1160,AR$1,FALSE)))</f>
        <v>2</v>
      </c>
      <c r="AS8" s="16">
        <f>IF($B8="-","-",IF(VLOOKUP(ROUND(CONCATENATE($A8,AS$2),0),'Cadastro - Padrões'!$A$2:$T$1160,AS$1,FALSE)="","-",VLOOKUP(ROUND(CONCATENATE($A8,AS$2),0),'Cadastro - Padrões'!$A$2:$T$1160,AS$1,FALSE)))</f>
        <v>1000000</v>
      </c>
      <c r="AT8" s="16">
        <f>IF($B8="-","-",IF(VLOOKUP(ROUND(CONCATENATE($A8,AT$2),0),'Cadastro - Padrões'!$A$2:$T$1160,AT$1,FALSE)="","-",VLOOKUP(ROUND(CONCATENATE($A8,AT$2),0),'Cadastro - Padrões'!$A$2:$T$1160,AT$1,FALSE)))</f>
        <v>1050</v>
      </c>
      <c r="AU8" s="16">
        <f>IF($B8="-","-",IF(VLOOKUP(ROUND(CONCATENATE($A8,AU$2),0),'Cadastro - Padrões'!$A$2:$T$1160,AU$1,FALSE)="","-",VLOOKUP(ROUND(CONCATENATE($A8,AU$2),0),'Cadastro - Padrões'!$A$2:$T$1160,AU$1,FALSE)))</f>
        <v>0.3</v>
      </c>
      <c r="AV8" s="16">
        <f>IF($B8="-","-",IF(VLOOKUP(ROUND(CONCATENATE($A8,AV$2),0),'Cadastro - Padrões'!$A$2:$T$1160,AV$1,FALSE)="","-",VLOOKUP(ROUND(CONCATENATE($A8,AV$2),0),'Cadastro - Padrões'!$A$2:$T$1160,AV$1,FALSE)))</f>
        <v>2</v>
      </c>
      <c r="AW8" s="16">
        <f>IF($B8="-","-",IF(VLOOKUP(ROUND(CONCATENATE($A8,AW$2),0),'Cadastro - Padrões'!$A$2:$T$1160,AW$1,FALSE)="","-",VLOOKUP(ROUND(CONCATENATE($A8,AW$2),0),'Cadastro - Padrões'!$A$2:$T$1160,AW$1,FALSE)))</f>
        <v>1000000</v>
      </c>
      <c r="AX8" s="16" t="str">
        <f>IF($B8="-","-",IF(VLOOKUP(ROUND(CONCATENATE($A8,AX$2),0),'Cadastro - Padrões'!$A$2:$T$1160,AX$1,FALSE)="","-",VLOOKUP(ROUND(CONCATENATE($A8,AX$2),0),'Cadastro - Padrões'!$A$2:$T$1160,AX$1,FALSE)))</f>
        <v>-</v>
      </c>
      <c r="AY8" s="16" t="str">
        <f>IF($B8="-","-",IF(VLOOKUP(ROUND(CONCATENATE($A8,AY$2),0),'Cadastro - Padrões'!$A$2:$T$1160,AY$1,FALSE)="","-",VLOOKUP(ROUND(CONCATENATE($A8,AY$2),0),'Cadastro - Padrões'!$A$2:$T$1160,AY$1,FALSE)))</f>
        <v>-</v>
      </c>
      <c r="AZ8" s="16" t="str">
        <f>IF($B8="-","-",IF(VLOOKUP(ROUND(CONCATENATE($A8,AZ$2),0),'Cadastro - Padrões'!$A$2:$T$1160,AZ$1,FALSE)="","-",VLOOKUP(ROUND(CONCATENATE($A8,AZ$2),0),'Cadastro - Padrões'!$A$2:$T$1160,AZ$1,FALSE)))</f>
        <v>-</v>
      </c>
      <c r="BA8" s="16" t="str">
        <f>IF($B8="-","-",IF(VLOOKUP(ROUND(CONCATENATE($A8,BA$2),0),'Cadastro - Padrões'!$A$2:$T$1160,BA$1,FALSE)="","-",VLOOKUP(ROUND(CONCATENATE($A8,BA$2),0),'Cadastro - Padrões'!$A$2:$T$1160,BA$1,FALSE)))</f>
        <v>-</v>
      </c>
      <c r="BB8" s="16" t="str">
        <f>IF($B8="-","-",IF(VLOOKUP(ROUND(CONCATENATE($A8,BB$2),0),'Cadastro - Padrões'!$A$2:$T$1160,BB$1,FALSE)="","-",VLOOKUP(ROUND(CONCATENATE($A8,BB$2),0),'Cadastro - Padrões'!$A$2:$T$1160,BB$1,FALSE)))</f>
        <v>-</v>
      </c>
      <c r="BC8" s="16" t="str">
        <f>IF($B8="-","-",IF(VLOOKUP(ROUND(CONCATENATE($A8,BC$2),0),'Cadastro - Padrões'!$A$2:$T$1160,BC$1,FALSE)="","-",VLOOKUP(ROUND(CONCATENATE($A8,BC$2),0),'Cadastro - Padrões'!$A$2:$T$1160,BC$1,FALSE)))</f>
        <v>-</v>
      </c>
      <c r="BD8" s="16" t="str">
        <f>IF($B8="-","-",IF(VLOOKUP(ROUND(CONCATENATE($A8,BD$2),0),'Cadastro - Padrões'!$A$2:$T$1160,BD$1,FALSE)="","-",VLOOKUP(ROUND(CONCATENATE($A8,BD$2),0),'Cadastro - Padrões'!$A$2:$T$1160,BD$1,FALSE)))</f>
        <v>-</v>
      </c>
      <c r="BE8" s="16" t="str">
        <f>IF($B8="-","-",IF(VLOOKUP(ROUND(CONCATENATE($A8,BE$2),0),'Cadastro - Padrões'!$A$2:$T$1160,BE$1,FALSE)="","-",VLOOKUP(ROUND(CONCATENATE($A8,BE$2),0),'Cadastro - Padrões'!$A$2:$T$1160,BE$1,FALSE)))</f>
        <v>-</v>
      </c>
      <c r="BF8" s="16" t="str">
        <f>IF($B8="-","-",IF(VLOOKUP(ROUND(CONCATENATE($A8,BF$2),0),'Cadastro - Padrões'!$A$2:$T$1160,BF$1,FALSE)="","-",VLOOKUP(ROUND(CONCATENATE($A8,BF$2),0),'Cadastro - Padrões'!$A$2:$T$1160,BF$1,FALSE)))</f>
        <v>-</v>
      </c>
      <c r="BG8" s="16" t="str">
        <f>IF($B8="-","-",IF(VLOOKUP(ROUND(CONCATENATE($A8,BG$2),0),'Cadastro - Padrões'!$A$2:$T$1160,BG$1,FALSE)="","-",VLOOKUP(ROUND(CONCATENATE($A8,BG$2),0),'Cadastro - Padrões'!$A$2:$T$1160,BG$1,FALSE)))</f>
        <v>-</v>
      </c>
      <c r="BH8" s="16" t="str">
        <f>IF($B8="-","-",IF(VLOOKUP(ROUND(CONCATENATE($A8,BH$2),0),'Cadastro - Padrões'!$A$2:$T$1160,BH$1,FALSE)="","-",VLOOKUP(ROUND(CONCATENATE($A8,BH$2),0),'Cadastro - Padrões'!$A$2:$T$1160,BH$1,FALSE)))</f>
        <v>-</v>
      </c>
      <c r="BI8" s="16" t="str">
        <f>IF($B8="-","-",IF(VLOOKUP(ROUND(CONCATENATE($A8,BI$2),0),'Cadastro - Padrões'!$A$2:$T$1160,BI$1,FALSE)="","-",VLOOKUP(ROUND(CONCATENATE($A8,BI$2),0),'Cadastro - Padrões'!$A$2:$T$1160,BI$1,FALSE)))</f>
        <v>-</v>
      </c>
      <c r="BJ8" s="16" t="str">
        <f>IF($B8="-","-",IF(VLOOKUP(ROUND(CONCATENATE($A8,BJ$2),0),'Cadastro - Padrões'!$A$2:$T$1160,BJ$1,FALSE)="","-",VLOOKUP(ROUND(CONCATENATE($A8,BJ$2),0),'Cadastro - Padrões'!$A$2:$T$1160,BJ$1,FALSE)))</f>
        <v>-</v>
      </c>
      <c r="BK8" s="16" t="str">
        <f>IF($B8="-","-",IF(VLOOKUP(ROUND(CONCATENATE($A8,BK$2),0),'Cadastro - Padrões'!$A$2:$T$1160,BK$1,FALSE)="","-",VLOOKUP(ROUND(CONCATENATE($A8,BK$2),0),'Cadastro - Padrões'!$A$2:$T$1160,BK$1,FALSE)))</f>
        <v>-</v>
      </c>
      <c r="BL8" s="16" t="str">
        <f>IF($B8="-","-",IF(VLOOKUP(ROUND(CONCATENATE($A8,BL$2),0),'Cadastro - Padrões'!$A$2:$T$1160,BL$1,FALSE)="","-",VLOOKUP(ROUND(CONCATENATE($A8,BL$2),0),'Cadastro - Padrões'!$A$2:$T$1160,BL$1,FALSE)))</f>
        <v>-</v>
      </c>
      <c r="BM8" s="16" t="str">
        <f>IF($B8="-","-",IF(VLOOKUP(ROUND(CONCATENATE($A8,BM$2),0),'Cadastro - Padrões'!$A$2:$T$1160,BM$1,FALSE)="","-",VLOOKUP(ROUND(CONCATENATE($A8,BM$2),0),'Cadastro - Padrões'!$A$2:$T$1160,BM$1,FALSE)))</f>
        <v>-</v>
      </c>
      <c r="BN8" s="16" t="str">
        <f>IF($B8="-","-",IF(VLOOKUP(ROUND(CONCATENATE($A8,BN$2),0),'Cadastro - Padrões'!$A$2:$T$1160,BN$1,FALSE)="","-",VLOOKUP(ROUND(CONCATENATE($A8,BN$2),0),'Cadastro - Padrões'!$A$2:$T$1160,BN$1,FALSE)))</f>
        <v>-</v>
      </c>
      <c r="BO8" s="16" t="str">
        <f>IF($B8="-","-",IF(VLOOKUP(ROUND(CONCATENATE($A8,BO$2),0),'Cadastro - Padrões'!$A$2:$T$1160,BO$1,FALSE)="","-",VLOOKUP(ROUND(CONCATENATE($A8,BO$2),0),'Cadastro - Padrões'!$A$2:$T$1160,BO$1,FALSE)))</f>
        <v>-</v>
      </c>
      <c r="BP8" s="16" t="str">
        <f>IF($B8="-","-",IF(VLOOKUP(ROUND(CONCATENATE($A8,BP$2),0),'Cadastro - Padrões'!$A$2:$T$1160,BP$1,FALSE)="","-",VLOOKUP(ROUND(CONCATENATE($A8,BP$2),0),'Cadastro - Padrões'!$A$2:$T$1160,BP$1,FALSE)))</f>
        <v>-</v>
      </c>
      <c r="BQ8" s="16" t="str">
        <f>IF($B8="-","-",IF(VLOOKUP(ROUND(CONCATENATE($A8,BQ$2),0),'Cadastro - Padrões'!$A$2:$T$1160,BQ$1,FALSE)="","-",VLOOKUP(ROUND(CONCATENATE($A8,BQ$2),0),'Cadastro - Padrões'!$A$2:$T$1160,BQ$1,FALSE)))</f>
        <v>-</v>
      </c>
      <c r="BR8" s="16" t="str">
        <f>IF($B8="-","-",IF(VLOOKUP(ROUND(CONCATENATE($A8,BR$2),0),'Cadastro - Padrões'!$A$2:$T$1160,BR$1,FALSE)="","-",VLOOKUP(ROUND(CONCATENATE($A8,BR$2),0),'Cadastro - Padrões'!$A$2:$T$1160,BR$1,FALSE)))</f>
        <v>-</v>
      </c>
      <c r="BS8" s="16" t="str">
        <f>IF($B8="-","-",IF(VLOOKUP(ROUND(CONCATENATE($A8,BS$2),0),'Cadastro - Padrões'!$A$2:$T$1160,BS$1,FALSE)="","-",VLOOKUP(ROUND(CONCATENATE($A8,BS$2),0),'Cadastro - Padrões'!$A$2:$T$1160,BS$1,FALSE)))</f>
        <v>-</v>
      </c>
      <c r="BT8" s="16" t="str">
        <f>IF($B8="-","-",IF(VLOOKUP(ROUND(CONCATENATE($A8,BT$2),0),'Cadastro - Padrões'!$A$2:$T$1160,BT$1,FALSE)="","-",VLOOKUP(ROUND(CONCATENATE($A8,BT$2),0),'Cadastro - Padrões'!$A$2:$T$1160,BT$1,FALSE)))</f>
        <v>-</v>
      </c>
      <c r="BU8" s="16" t="str">
        <f>IF($B8="-","-",IF(VLOOKUP(ROUND(CONCATENATE($A8,BU$2),0),'Cadastro - Padrões'!$A$2:$T$1160,BU$1,FALSE)="","-",VLOOKUP(ROUND(CONCATENATE($A8,BU$2),0),'Cadastro - Padrões'!$A$2:$T$1160,BU$1,FALSE)))</f>
        <v>-</v>
      </c>
      <c r="BV8" s="16" t="str">
        <f>IF($B8="-","-",IF(VLOOKUP(ROUND(CONCATENATE($A8,BV$2),0),'Cadastro - Padrões'!$A$2:$T$1160,BV$1,FALSE)="","-",VLOOKUP(ROUND(CONCATENATE($A8,BV$2),0),'Cadastro - Padrões'!$A$2:$T$1160,BV$1,FALSE)))</f>
        <v>-</v>
      </c>
      <c r="BW8" s="16" t="str">
        <f>IF($B8="-","-",IF(VLOOKUP(ROUND(CONCATENATE($A8,BW$2),0),'Cadastro - Padrões'!$A$2:$T$1160,BW$1,FALSE)="","-",VLOOKUP(ROUND(CONCATENATE($A8,BW$2),0),'Cadastro - Padrões'!$A$2:$T$1160,BW$1,FALSE)))</f>
        <v>-</v>
      </c>
      <c r="BX8" s="16" t="str">
        <f>IF($B8="-","-",IF(VLOOKUP(ROUND(CONCATENATE($A8,BX$2),0),'Cadastro - Padrões'!$A$2:$T$1160,BX$1,FALSE)="","-",VLOOKUP(ROUND(CONCATENATE($A8,BX$2),0),'Cadastro - Padrões'!$A$2:$T$1160,BX$1,FALSE)))</f>
        <v>-</v>
      </c>
      <c r="BY8" s="16" t="str">
        <f>IF($B8="-","-",IF(VLOOKUP(ROUND(CONCATENATE($A8,BY$2),0),'Cadastro - Padrões'!$A$2:$T$1160,BY$1,FALSE)="","-",VLOOKUP(ROUND(CONCATENATE($A8,BY$2),0),'Cadastro - Padrões'!$A$2:$T$1160,BY$1,FALSE)))</f>
        <v>-</v>
      </c>
      <c r="BZ8" s="16" t="str">
        <f>IF($B8="-","-",IF(VLOOKUP(ROUND(CONCATENATE($A8,BZ$2),0),'Cadastro - Padrões'!$A$2:$T$1160,BZ$1,FALSE)="","-",VLOOKUP(ROUND(CONCATENATE($A8,BZ$2),0),'Cadastro - Padrões'!$A$2:$T$1160,BZ$1,FALSE)))</f>
        <v>-</v>
      </c>
      <c r="CA8" s="16" t="str">
        <f>IF($B8="-","-",IF(VLOOKUP(ROUND(CONCATENATE($A8,CA$2),0),'Cadastro - Padrões'!$A$2:$T$1160,CA$1,FALSE)="","-",VLOOKUP(ROUND(CONCATENATE($A8,CA$2),0),'Cadastro - Padrões'!$A$2:$T$1160,CA$1,FALSE)))</f>
        <v>-</v>
      </c>
      <c r="CB8" s="16" t="str">
        <f>IF($B8="-","-",IF(VLOOKUP(ROUND(CONCATENATE($A8,CB$2),0),'Cadastro - Padrões'!$A$2:$T$1160,CB$1,FALSE)="","-",VLOOKUP(ROUND(CONCATENATE($A8,CB$2),0),'Cadastro - Padrões'!$A$2:$T$1160,CB$1,FALSE)))</f>
        <v>-</v>
      </c>
      <c r="CC8" s="16" t="str">
        <f>IF($B8="-","-",IF(VLOOKUP(ROUND(CONCATENATE($A8,CC$2),0),'Cadastro - Padrões'!$A$2:$T$1160,CC$1,FALSE)="","-",VLOOKUP(ROUND(CONCATENATE($A8,CC$2),0),'Cadastro - Padrões'!$A$2:$T$1160,CC$1,FALSE)))</f>
        <v>-</v>
      </c>
    </row>
    <row r="9" spans="1:81" x14ac:dyDescent="0.3">
      <c r="A9" s="15">
        <f t="shared" si="82"/>
        <v>4</v>
      </c>
      <c r="B9" s="16" t="str">
        <f>IF(VLOOKUP(ROUND(CONCATENATE($A9,B$2),0),'Cadastro - Padrões'!$A$2:$T$1160,B$1,FALSE)="","-",VLOOKUP(ROUND(CONCATENATE($A9,B$2),0),'Cadastro - Padrões'!$A$2:$T$1160,B$1,FALSE))</f>
        <v>EL-193</v>
      </c>
      <c r="C9" s="16" t="str">
        <f>IF(VLOOKUP(ROUND(CONCATENATE($A9,C$2),0),'Cadastro - Padrões'!$A$2:$T$1160,C$1,FALSE)="","-",VLOOKUP(ROUND(CONCATENATE($A9,C$2),0),'Cadastro - Padrões'!$A$2:$T$1160,C$1,FALSE))</f>
        <v>Barômetro Digital</v>
      </c>
      <c r="D9" s="16" t="str">
        <f>IF($B9="-","-",VLOOKUP(ROUND(CONCATENATE($A9,D$2),0),'Cadastro - Padrões'!$A$2:$T$1160,D$1,FALSE))</f>
        <v>CTA</v>
      </c>
      <c r="E9" s="16" t="str">
        <f>IF($B9="-","-",VLOOKUP(ROUND(CONCATENATE($A9,E$2),0),'Cadastro - Padrões'!$A$2:$T$1160,E$1,FALSE))</f>
        <v>RBC - CAL 0001</v>
      </c>
      <c r="F9" s="16" t="str">
        <f>IF($B9="-","-",VLOOKUP(ROUND(CONCATENATE($A9,F$2),0),'Cadastro - Padrões'!$A$2:$T$1160,F$1,FALSE))</f>
        <v>MF-P 747/23</v>
      </c>
      <c r="G9" s="17">
        <f>IF($B9="-","-",VLOOKUP(ROUND(CONCATENATE($A9,G$2),0),'Cadastro - Padrões'!$A$2:$T$1160,G$1,FALSE))</f>
        <v>45254</v>
      </c>
      <c r="H9" s="18">
        <f>IF($B9="-","-",VLOOKUP(ROUND(CONCATENATE($A9,H$2),0),'Cadastro - Padrões'!$A$2:$T$1160,H$1,FALSE))</f>
        <v>45991</v>
      </c>
      <c r="I9" s="16" t="str">
        <f>IF($B9="-","-",VLOOKUP(ROUND(CONCATENATE($A9,I$2),0),'Cadastro - Padrões'!$A$2:$T$1160,I$1,FALSE))</f>
        <v>hPa</v>
      </c>
      <c r="J9" s="16">
        <f>IF($B9="-","-",VLOOKUP(ROUND(CONCATENATE($A9,J$2),0),'Cadastro - Padrões'!$A$2:$T$1160,J$1,FALSE))</f>
        <v>498.88299999999998</v>
      </c>
      <c r="K9" s="16">
        <f>IF($B9="-","-",VLOOKUP(ROUND(CONCATENATE($A9,K$2),0),'Cadastro - Padrões'!$A$2:$T$1160,K$1,FALSE))</f>
        <v>1099.655</v>
      </c>
      <c r="L9" s="16">
        <f>IF($B9="-","-",VLOOKUP(ROUND(CONCATENATE($A9,L$2),0),'Cadastro - Padrões'!$A$2:$T$1160,L$1,FALSE))</f>
        <v>0.01</v>
      </c>
      <c r="M9" s="19">
        <f>IF($B9="-","-",VLOOKUP(ROUND(CONCATENATE($A9,M$2),0),'Cadastro - Padrões'!$A$2:$T$1160,M$1,FALSE))</f>
        <v>0.15700000000003911</v>
      </c>
      <c r="N9" s="16">
        <f>IF($B9="-","-",VLOOKUP(ROUND(CONCATENATE($A9,N$2),0),'Cadastro - Padrões'!$A$2:$T$1160,N$1,FALSE))</f>
        <v>0.05</v>
      </c>
      <c r="O9" s="19">
        <f>IF($B9="-","-",VLOOKUP(ROUND(CONCATENATE($A9,O$2),0),'Cadastro - Padrões'!$A$2:$T$1160,O$1,FALSE))</f>
        <v>0.10450000000003001</v>
      </c>
      <c r="P9" s="16">
        <f>IF($B9="-","-",VLOOKUP(ROUND(CONCATENATE($A9,P$2),0),'Cadastro - Padrões'!$A$2:$T$1160,P$1,FALSE))</f>
        <v>7.8008194168222361E-3</v>
      </c>
      <c r="Q9" s="16">
        <f>IF($B9="-","-",VLOOKUP(ROUND(CONCATENATE($A9,Q$2),0),'Cadastro - Padrões'!$A$2:$T$1160,Q$1,FALSE))</f>
        <v>3</v>
      </c>
      <c r="R9" s="16">
        <f>IF($B9="-","-",VLOOKUP(ROUND(CONCATENATE($A9,R$2),0),'Cadastro - Padrões'!$A$2:$T$1160,R$1,FALSE))</f>
        <v>-5.7637750888708536E-10</v>
      </c>
      <c r="S9" s="16">
        <f>IF($B9="-","-",VLOOKUP(ROUND(CONCATENATE($A9,S$2),0),'Cadastro - Padrões'!$A$2:$T$1160,S$1,FALSE))</f>
        <v>1.3503379454848327E-6</v>
      </c>
      <c r="T9" s="16">
        <f>IF($B9="-","-",VLOOKUP(ROUND(CONCATENATE($A9,T$2),0),'Cadastro - Padrões'!$A$2:$T$1160,T$1,FALSE))</f>
        <v>0.99915590867238524</v>
      </c>
      <c r="U9" s="16">
        <f>IF($B9="-","-",VLOOKUP(ROUND(CONCATENATE($A9,U$2),0),'Cadastro - Padrões'!$A$2:$T$1160,U$1,FALSE))</f>
        <v>-2.4334906636035436E-3</v>
      </c>
      <c r="V9" s="16">
        <f>IF($B9="-","-",IF(VLOOKUP(ROUND(CONCATENATE($A9,V$2),0),'Cadastro - Padrões'!$A$2:$T$1160,V$1,FALSE)="","-",VLOOKUP(ROUND(CONCATENATE($A9,V$2),0),'Cadastro - Padrões'!$A$2:$T$1160,V$1,FALSE)))</f>
        <v>498.88299999999998</v>
      </c>
      <c r="W9" s="16">
        <f>IF($B9="-","-",IF(VLOOKUP(ROUND(CONCATENATE($A9,W$2),0),'Cadastro - Padrões'!$A$2:$T$1160,W$1,FALSE)="","-",VLOOKUP(ROUND(CONCATENATE($A9,W$2),0),'Cadastro - Padrões'!$A$2:$T$1160,W$1,FALSE)))</f>
        <v>0.05</v>
      </c>
      <c r="X9" s="16">
        <f>IF($B9="-","-",IF(VLOOKUP(ROUND(CONCATENATE($A9,X$2),0),'Cadastro - Padrões'!$A$2:$T$1160,X$1,FALSE)="","-",VLOOKUP(ROUND(CONCATENATE($A9,X$2),0),'Cadastro - Padrões'!$A$2:$T$1160,X$1,FALSE)))</f>
        <v>2</v>
      </c>
      <c r="Y9" s="16">
        <f>IF($B9="-","-",IF(VLOOKUP(ROUND(CONCATENATE($A9,Y$2),0),'Cadastro - Padrões'!$A$2:$T$1160,Y$1,FALSE)="","-",VLOOKUP(ROUND(CONCATENATE($A9,Y$2),0),'Cadastro - Padrões'!$A$2:$T$1160,Y$1,FALSE)))</f>
        <v>1000000</v>
      </c>
      <c r="Z9" s="16">
        <f>IF($B9="-","-",IF(VLOOKUP(ROUND(CONCATENATE($A9,Z$2),0),'Cadastro - Padrões'!$A$2:$T$1160,Z$1,FALSE)="","-",VLOOKUP(ROUND(CONCATENATE($A9,Z$2),0),'Cadastro - Padrões'!$A$2:$T$1160,Z$1,FALSE)))</f>
        <v>598.04499999999996</v>
      </c>
      <c r="AA9" s="16">
        <f>IF($B9="-","-",IF(VLOOKUP(ROUND(CONCATENATE($A9,AA$2),0),'Cadastro - Padrões'!$A$2:$T$1160,AA$1,FALSE)="","-",VLOOKUP(ROUND(CONCATENATE($A9,AA$2),0),'Cadastro - Padrões'!$A$2:$T$1160,AA$1,FALSE)))</f>
        <v>0.05</v>
      </c>
      <c r="AB9" s="16">
        <f>IF($B9="-","-",IF(VLOOKUP(ROUND(CONCATENATE($A9,AB$2),0),'Cadastro - Padrões'!$A$2:$T$1160,AB$1,FALSE)="","-",VLOOKUP(ROUND(CONCATENATE($A9,AB$2),0),'Cadastro - Padrões'!$A$2:$T$1160,AB$1,FALSE)))</f>
        <v>2</v>
      </c>
      <c r="AC9" s="16">
        <f>IF($B9="-","-",IF(VLOOKUP(ROUND(CONCATENATE($A9,AC$2),0),'Cadastro - Padrões'!$A$2:$T$1160,AC$1,FALSE)="","-",VLOOKUP(ROUND(CONCATENATE($A9,AC$2),0),'Cadastro - Padrões'!$A$2:$T$1160,AC$1,FALSE)))</f>
        <v>1000000</v>
      </c>
      <c r="AD9" s="16">
        <f>IF($B9="-","-",IF(VLOOKUP(ROUND(CONCATENATE($A9,AD$2),0),'Cadastro - Padrões'!$A$2:$T$1160,AD$1,FALSE)="","-",VLOOKUP(ROUND(CONCATENATE($A9,AD$2),0),'Cadastro - Padrões'!$A$2:$T$1160,AD$1,FALSE)))</f>
        <v>697.18899999999996</v>
      </c>
      <c r="AE9" s="16">
        <f>IF($B9="-","-",IF(VLOOKUP(ROUND(CONCATENATE($A9,AE$2),0),'Cadastro - Padrões'!$A$2:$T$1160,AE$1,FALSE)="","-",VLOOKUP(ROUND(CONCATENATE($A9,AE$2),0),'Cadastro - Padrões'!$A$2:$T$1160,AE$1,FALSE)))</f>
        <v>0.05</v>
      </c>
      <c r="AF9" s="16">
        <f>IF($B9="-","-",IF(VLOOKUP(ROUND(CONCATENATE($A9,AF$2),0),'Cadastro - Padrões'!$A$2:$T$1160,AF$1,FALSE)="","-",VLOOKUP(ROUND(CONCATENATE($A9,AF$2),0),'Cadastro - Padrões'!$A$2:$T$1160,AF$1,FALSE)))</f>
        <v>2</v>
      </c>
      <c r="AG9" s="16">
        <f>IF($B9="-","-",IF(VLOOKUP(ROUND(CONCATENATE($A9,AG$2),0),'Cadastro - Padrões'!$A$2:$T$1160,AG$1,FALSE)="","-",VLOOKUP(ROUND(CONCATENATE($A9,AG$2),0),'Cadastro - Padrões'!$A$2:$T$1160,AG$1,FALSE)))</f>
        <v>1000000</v>
      </c>
      <c r="AH9" s="16">
        <f>IF($B9="-","-",IF(VLOOKUP(ROUND(CONCATENATE($A9,AH$2),0),'Cadastro - Padrões'!$A$2:$T$1160,AH$1,FALSE)="","-",VLOOKUP(ROUND(CONCATENATE($A9,AH$2),0),'Cadastro - Padrões'!$A$2:$T$1160,AH$1,FALSE)))</f>
        <v>799.26</v>
      </c>
      <c r="AI9" s="16">
        <f>IF($B9="-","-",IF(VLOOKUP(ROUND(CONCATENATE($A9,AI$2),0),'Cadastro - Padrões'!$A$2:$T$1160,AI$1,FALSE)="","-",VLOOKUP(ROUND(CONCATENATE($A9,AI$2),0),'Cadastro - Padrões'!$A$2:$T$1160,AI$1,FALSE)))</f>
        <v>0.05</v>
      </c>
      <c r="AJ9" s="16">
        <f>IF($B9="-","-",IF(VLOOKUP(ROUND(CONCATENATE($A9,AJ$2),0),'Cadastro - Padrões'!$A$2:$T$1160,AJ$1,FALSE)="","-",VLOOKUP(ROUND(CONCATENATE($A9,AJ$2),0),'Cadastro - Padrões'!$A$2:$T$1160,AJ$1,FALSE)))</f>
        <v>2</v>
      </c>
      <c r="AK9" s="16">
        <f>IF($B9="-","-",IF(VLOOKUP(ROUND(CONCATENATE($A9,AK$2),0),'Cadastro - Padrões'!$A$2:$T$1160,AK$1,FALSE)="","-",VLOOKUP(ROUND(CONCATENATE($A9,AK$2),0),'Cadastro - Padrões'!$A$2:$T$1160,AK$1,FALSE)))</f>
        <v>1000000</v>
      </c>
      <c r="AL9" s="16">
        <f>IF($B9="-","-",IF(VLOOKUP(ROUND(CONCATENATE($A9,AL$2),0),'Cadastro - Padrões'!$A$2:$T$1160,AL$1,FALSE)="","-",VLOOKUP(ROUND(CONCATENATE($A9,AL$2),0),'Cadastro - Padrões'!$A$2:$T$1160,AL$1,FALSE)))</f>
        <v>898.42600000000004</v>
      </c>
      <c r="AM9" s="16">
        <f>IF($B9="-","-",IF(VLOOKUP(ROUND(CONCATENATE($A9,AM$2),0),'Cadastro - Padrões'!$A$2:$T$1160,AM$1,FALSE)="","-",VLOOKUP(ROUND(CONCATENATE($A9,AM$2),0),'Cadastro - Padrões'!$A$2:$T$1160,AM$1,FALSE)))</f>
        <v>0.05</v>
      </c>
      <c r="AN9" s="16">
        <f>IF($B9="-","-",IF(VLOOKUP(ROUND(CONCATENATE($A9,AN$2),0),'Cadastro - Padrões'!$A$2:$T$1160,AN$1,FALSE)="","-",VLOOKUP(ROUND(CONCATENATE($A9,AN$2),0),'Cadastro - Padrões'!$A$2:$T$1160,AN$1,FALSE)))</f>
        <v>2</v>
      </c>
      <c r="AO9" s="16">
        <f>IF($B9="-","-",IF(VLOOKUP(ROUND(CONCATENATE($A9,AO$2),0),'Cadastro - Padrões'!$A$2:$T$1160,AO$1,FALSE)="","-",VLOOKUP(ROUND(CONCATENATE($A9,AO$2),0),'Cadastro - Padrões'!$A$2:$T$1160,AO$1,FALSE)))</f>
        <v>1000000</v>
      </c>
      <c r="AP9" s="16">
        <f>IF($B9="-","-",IF(VLOOKUP(ROUND(CONCATENATE($A9,AP$2),0),'Cadastro - Padrões'!$A$2:$T$1160,AP$1,FALSE)="","-",VLOOKUP(ROUND(CONCATENATE($A9,AP$2),0),'Cadastro - Padrões'!$A$2:$T$1160,AP$1,FALSE)))</f>
        <v>997.58100000000002</v>
      </c>
      <c r="AQ9" s="16">
        <f>IF($B9="-","-",IF(VLOOKUP(ROUND(CONCATENATE($A9,AQ$2),0),'Cadastro - Padrões'!$A$2:$T$1160,AQ$1,FALSE)="","-",VLOOKUP(ROUND(CONCATENATE($A9,AQ$2),0),'Cadastro - Padrões'!$A$2:$T$1160,AQ$1,FALSE)))</f>
        <v>0.05</v>
      </c>
      <c r="AR9" s="16">
        <f>IF($B9="-","-",IF(VLOOKUP(ROUND(CONCATENATE($A9,AR$2),0),'Cadastro - Padrões'!$A$2:$T$1160,AR$1,FALSE)="","-",VLOOKUP(ROUND(CONCATENATE($A9,AR$2),0),'Cadastro - Padrões'!$A$2:$T$1160,AR$1,FALSE)))</f>
        <v>2</v>
      </c>
      <c r="AS9" s="16">
        <f>IF($B9="-","-",IF(VLOOKUP(ROUND(CONCATENATE($A9,AS$2),0),'Cadastro - Padrões'!$A$2:$T$1160,AS$1,FALSE)="","-",VLOOKUP(ROUND(CONCATENATE($A9,AS$2),0),'Cadastro - Padrões'!$A$2:$T$1160,AS$1,FALSE)))</f>
        <v>1000000</v>
      </c>
      <c r="AT9" s="16">
        <f>IF($B9="-","-",IF(VLOOKUP(ROUND(CONCATENATE($A9,AT$2),0),'Cadastro - Padrões'!$A$2:$T$1160,AT$1,FALSE)="","-",VLOOKUP(ROUND(CONCATENATE($A9,AT$2),0),'Cadastro - Padrões'!$A$2:$T$1160,AT$1,FALSE)))</f>
        <v>1099.655</v>
      </c>
      <c r="AU9" s="16">
        <f>IF($B9="-","-",IF(VLOOKUP(ROUND(CONCATENATE($A9,AU$2),0),'Cadastro - Padrões'!$A$2:$T$1160,AU$1,FALSE)="","-",VLOOKUP(ROUND(CONCATENATE($A9,AU$2),0),'Cadastro - Padrões'!$A$2:$T$1160,AU$1,FALSE)))</f>
        <v>0.05</v>
      </c>
      <c r="AV9" s="16">
        <f>IF($B9="-","-",IF(VLOOKUP(ROUND(CONCATENATE($A9,AV$2),0),'Cadastro - Padrões'!$A$2:$T$1160,AV$1,FALSE)="","-",VLOOKUP(ROUND(CONCATENATE($A9,AV$2),0),'Cadastro - Padrões'!$A$2:$T$1160,AV$1,FALSE)))</f>
        <v>2</v>
      </c>
      <c r="AW9" s="16">
        <f>IF($B9="-","-",IF(VLOOKUP(ROUND(CONCATENATE($A9,AW$2),0),'Cadastro - Padrões'!$A$2:$T$1160,AW$1,FALSE)="","-",VLOOKUP(ROUND(CONCATENATE($A9,AW$2),0),'Cadastro - Padrões'!$A$2:$T$1160,AW$1,FALSE)))</f>
        <v>1000000</v>
      </c>
      <c r="AX9" s="16" t="str">
        <f>IF($B9="-","-",IF(VLOOKUP(ROUND(CONCATENATE($A9,AX$2),0),'Cadastro - Padrões'!$A$2:$T$1160,AX$1,FALSE)="","-",VLOOKUP(ROUND(CONCATENATE($A9,AX$2),0),'Cadastro - Padrões'!$A$2:$T$1160,AX$1,FALSE)))</f>
        <v>-</v>
      </c>
      <c r="AY9" s="16" t="str">
        <f>IF($B9="-","-",IF(VLOOKUP(ROUND(CONCATENATE($A9,AY$2),0),'Cadastro - Padrões'!$A$2:$T$1160,AY$1,FALSE)="","-",VLOOKUP(ROUND(CONCATENATE($A9,AY$2),0),'Cadastro - Padrões'!$A$2:$T$1160,AY$1,FALSE)))</f>
        <v>-</v>
      </c>
      <c r="AZ9" s="16" t="str">
        <f>IF($B9="-","-",IF(VLOOKUP(ROUND(CONCATENATE($A9,AZ$2),0),'Cadastro - Padrões'!$A$2:$T$1160,AZ$1,FALSE)="","-",VLOOKUP(ROUND(CONCATENATE($A9,AZ$2),0),'Cadastro - Padrões'!$A$2:$T$1160,AZ$1,FALSE)))</f>
        <v>-</v>
      </c>
      <c r="BA9" s="16" t="str">
        <f>IF($B9="-","-",IF(VLOOKUP(ROUND(CONCATENATE($A9,BA$2),0),'Cadastro - Padrões'!$A$2:$T$1160,BA$1,FALSE)="","-",VLOOKUP(ROUND(CONCATENATE($A9,BA$2),0),'Cadastro - Padrões'!$A$2:$T$1160,BA$1,FALSE)))</f>
        <v>-</v>
      </c>
      <c r="BB9" s="16" t="str">
        <f>IF($B9="-","-",IF(VLOOKUP(ROUND(CONCATENATE($A9,BB$2),0),'Cadastro - Padrões'!$A$2:$T$1160,BB$1,FALSE)="","-",VLOOKUP(ROUND(CONCATENATE($A9,BB$2),0),'Cadastro - Padrões'!$A$2:$T$1160,BB$1,FALSE)))</f>
        <v>-</v>
      </c>
      <c r="BC9" s="16" t="str">
        <f>IF($B9="-","-",IF(VLOOKUP(ROUND(CONCATENATE($A9,BC$2),0),'Cadastro - Padrões'!$A$2:$T$1160,BC$1,FALSE)="","-",VLOOKUP(ROUND(CONCATENATE($A9,BC$2),0),'Cadastro - Padrões'!$A$2:$T$1160,BC$1,FALSE)))</f>
        <v>-</v>
      </c>
      <c r="BD9" s="16" t="str">
        <f>IF($B9="-","-",IF(VLOOKUP(ROUND(CONCATENATE($A9,BD$2),0),'Cadastro - Padrões'!$A$2:$T$1160,BD$1,FALSE)="","-",VLOOKUP(ROUND(CONCATENATE($A9,BD$2),0),'Cadastro - Padrões'!$A$2:$T$1160,BD$1,FALSE)))</f>
        <v>-</v>
      </c>
      <c r="BE9" s="16" t="str">
        <f>IF($B9="-","-",IF(VLOOKUP(ROUND(CONCATENATE($A9,BE$2),0),'Cadastro - Padrões'!$A$2:$T$1160,BE$1,FALSE)="","-",VLOOKUP(ROUND(CONCATENATE($A9,BE$2),0),'Cadastro - Padrões'!$A$2:$T$1160,BE$1,FALSE)))</f>
        <v>-</v>
      </c>
      <c r="BF9" s="16" t="str">
        <f>IF($B9="-","-",IF(VLOOKUP(ROUND(CONCATENATE($A9,BF$2),0),'Cadastro - Padrões'!$A$2:$T$1160,BF$1,FALSE)="","-",VLOOKUP(ROUND(CONCATENATE($A9,BF$2),0),'Cadastro - Padrões'!$A$2:$T$1160,BF$1,FALSE)))</f>
        <v>-</v>
      </c>
      <c r="BG9" s="16" t="str">
        <f>IF($B9="-","-",IF(VLOOKUP(ROUND(CONCATENATE($A9,BG$2),0),'Cadastro - Padrões'!$A$2:$T$1160,BG$1,FALSE)="","-",VLOOKUP(ROUND(CONCATENATE($A9,BG$2),0),'Cadastro - Padrões'!$A$2:$T$1160,BG$1,FALSE)))</f>
        <v>-</v>
      </c>
      <c r="BH9" s="16" t="str">
        <f>IF($B9="-","-",IF(VLOOKUP(ROUND(CONCATENATE($A9,BH$2),0),'Cadastro - Padrões'!$A$2:$T$1160,BH$1,FALSE)="","-",VLOOKUP(ROUND(CONCATENATE($A9,BH$2),0),'Cadastro - Padrões'!$A$2:$T$1160,BH$1,FALSE)))</f>
        <v>-</v>
      </c>
      <c r="BI9" s="16" t="str">
        <f>IF($B9="-","-",IF(VLOOKUP(ROUND(CONCATENATE($A9,BI$2),0),'Cadastro - Padrões'!$A$2:$T$1160,BI$1,FALSE)="","-",VLOOKUP(ROUND(CONCATENATE($A9,BI$2),0),'Cadastro - Padrões'!$A$2:$T$1160,BI$1,FALSE)))</f>
        <v>-</v>
      </c>
      <c r="BJ9" s="16" t="str">
        <f>IF($B9="-","-",IF(VLOOKUP(ROUND(CONCATENATE($A9,BJ$2),0),'Cadastro - Padrões'!$A$2:$T$1160,BJ$1,FALSE)="","-",VLOOKUP(ROUND(CONCATENATE($A9,BJ$2),0),'Cadastro - Padrões'!$A$2:$T$1160,BJ$1,FALSE)))</f>
        <v>-</v>
      </c>
      <c r="BK9" s="16" t="str">
        <f>IF($B9="-","-",IF(VLOOKUP(ROUND(CONCATENATE($A9,BK$2),0),'Cadastro - Padrões'!$A$2:$T$1160,BK$1,FALSE)="","-",VLOOKUP(ROUND(CONCATENATE($A9,BK$2),0),'Cadastro - Padrões'!$A$2:$T$1160,BK$1,FALSE)))</f>
        <v>-</v>
      </c>
      <c r="BL9" s="16" t="str">
        <f>IF($B9="-","-",IF(VLOOKUP(ROUND(CONCATENATE($A9,BL$2),0),'Cadastro - Padrões'!$A$2:$T$1160,BL$1,FALSE)="","-",VLOOKUP(ROUND(CONCATENATE($A9,BL$2),0),'Cadastro - Padrões'!$A$2:$T$1160,BL$1,FALSE)))</f>
        <v>-</v>
      </c>
      <c r="BM9" s="16" t="str">
        <f>IF($B9="-","-",IF(VLOOKUP(ROUND(CONCATENATE($A9,BM$2),0),'Cadastro - Padrões'!$A$2:$T$1160,BM$1,FALSE)="","-",VLOOKUP(ROUND(CONCATENATE($A9,BM$2),0),'Cadastro - Padrões'!$A$2:$T$1160,BM$1,FALSE)))</f>
        <v>-</v>
      </c>
      <c r="BN9" s="16" t="str">
        <f>IF($B9="-","-",IF(VLOOKUP(ROUND(CONCATENATE($A9,BN$2),0),'Cadastro - Padrões'!$A$2:$T$1160,BN$1,FALSE)="","-",VLOOKUP(ROUND(CONCATENATE($A9,BN$2),0),'Cadastro - Padrões'!$A$2:$T$1160,BN$1,FALSE)))</f>
        <v>-</v>
      </c>
      <c r="BO9" s="16" t="str">
        <f>IF($B9="-","-",IF(VLOOKUP(ROUND(CONCATENATE($A9,BO$2),0),'Cadastro - Padrões'!$A$2:$T$1160,BO$1,FALSE)="","-",VLOOKUP(ROUND(CONCATENATE($A9,BO$2),0),'Cadastro - Padrões'!$A$2:$T$1160,BO$1,FALSE)))</f>
        <v>-</v>
      </c>
      <c r="BP9" s="16" t="str">
        <f>IF($B9="-","-",IF(VLOOKUP(ROUND(CONCATENATE($A9,BP$2),0),'Cadastro - Padrões'!$A$2:$T$1160,BP$1,FALSE)="","-",VLOOKUP(ROUND(CONCATENATE($A9,BP$2),0),'Cadastro - Padrões'!$A$2:$T$1160,BP$1,FALSE)))</f>
        <v>-</v>
      </c>
      <c r="BQ9" s="16" t="str">
        <f>IF($B9="-","-",IF(VLOOKUP(ROUND(CONCATENATE($A9,BQ$2),0),'Cadastro - Padrões'!$A$2:$T$1160,BQ$1,FALSE)="","-",VLOOKUP(ROUND(CONCATENATE($A9,BQ$2),0),'Cadastro - Padrões'!$A$2:$T$1160,BQ$1,FALSE)))</f>
        <v>-</v>
      </c>
      <c r="BR9" s="16" t="str">
        <f>IF($B9="-","-",IF(VLOOKUP(ROUND(CONCATENATE($A9,BR$2),0),'Cadastro - Padrões'!$A$2:$T$1160,BR$1,FALSE)="","-",VLOOKUP(ROUND(CONCATENATE($A9,BR$2),0),'Cadastro - Padrões'!$A$2:$T$1160,BR$1,FALSE)))</f>
        <v>-</v>
      </c>
      <c r="BS9" s="16" t="str">
        <f>IF($B9="-","-",IF(VLOOKUP(ROUND(CONCATENATE($A9,BS$2),0),'Cadastro - Padrões'!$A$2:$T$1160,BS$1,FALSE)="","-",VLOOKUP(ROUND(CONCATENATE($A9,BS$2),0),'Cadastro - Padrões'!$A$2:$T$1160,BS$1,FALSE)))</f>
        <v>-</v>
      </c>
      <c r="BT9" s="16" t="str">
        <f>IF($B9="-","-",IF(VLOOKUP(ROUND(CONCATENATE($A9,BT$2),0),'Cadastro - Padrões'!$A$2:$T$1160,BT$1,FALSE)="","-",VLOOKUP(ROUND(CONCATENATE($A9,BT$2),0),'Cadastro - Padrões'!$A$2:$T$1160,BT$1,FALSE)))</f>
        <v>-</v>
      </c>
      <c r="BU9" s="16" t="str">
        <f>IF($B9="-","-",IF(VLOOKUP(ROUND(CONCATENATE($A9,BU$2),0),'Cadastro - Padrões'!$A$2:$T$1160,BU$1,FALSE)="","-",VLOOKUP(ROUND(CONCATENATE($A9,BU$2),0),'Cadastro - Padrões'!$A$2:$T$1160,BU$1,FALSE)))</f>
        <v>-</v>
      </c>
      <c r="BV9" s="16" t="str">
        <f>IF($B9="-","-",IF(VLOOKUP(ROUND(CONCATENATE($A9,BV$2),0),'Cadastro - Padrões'!$A$2:$T$1160,BV$1,FALSE)="","-",VLOOKUP(ROUND(CONCATENATE($A9,BV$2),0),'Cadastro - Padrões'!$A$2:$T$1160,BV$1,FALSE)))</f>
        <v>-</v>
      </c>
      <c r="BW9" s="16" t="str">
        <f>IF($B9="-","-",IF(VLOOKUP(ROUND(CONCATENATE($A9,BW$2),0),'Cadastro - Padrões'!$A$2:$T$1160,BW$1,FALSE)="","-",VLOOKUP(ROUND(CONCATENATE($A9,BW$2),0),'Cadastro - Padrões'!$A$2:$T$1160,BW$1,FALSE)))</f>
        <v>-</v>
      </c>
      <c r="BX9" s="16" t="str">
        <f>IF($B9="-","-",IF(VLOOKUP(ROUND(CONCATENATE($A9,BX$2),0),'Cadastro - Padrões'!$A$2:$T$1160,BX$1,FALSE)="","-",VLOOKUP(ROUND(CONCATENATE($A9,BX$2),0),'Cadastro - Padrões'!$A$2:$T$1160,BX$1,FALSE)))</f>
        <v>-</v>
      </c>
      <c r="BY9" s="16" t="str">
        <f>IF($B9="-","-",IF(VLOOKUP(ROUND(CONCATENATE($A9,BY$2),0),'Cadastro - Padrões'!$A$2:$T$1160,BY$1,FALSE)="","-",VLOOKUP(ROUND(CONCATENATE($A9,BY$2),0),'Cadastro - Padrões'!$A$2:$T$1160,BY$1,FALSE)))</f>
        <v>-</v>
      </c>
      <c r="BZ9" s="16" t="str">
        <f>IF($B9="-","-",IF(VLOOKUP(ROUND(CONCATENATE($A9,BZ$2),0),'Cadastro - Padrões'!$A$2:$T$1160,BZ$1,FALSE)="","-",VLOOKUP(ROUND(CONCATENATE($A9,BZ$2),0),'Cadastro - Padrões'!$A$2:$T$1160,BZ$1,FALSE)))</f>
        <v>-</v>
      </c>
      <c r="CA9" s="16" t="str">
        <f>IF($B9="-","-",IF(VLOOKUP(ROUND(CONCATENATE($A9,CA$2),0),'Cadastro - Padrões'!$A$2:$T$1160,CA$1,FALSE)="","-",VLOOKUP(ROUND(CONCATENATE($A9,CA$2),0),'Cadastro - Padrões'!$A$2:$T$1160,CA$1,FALSE)))</f>
        <v>-</v>
      </c>
      <c r="CB9" s="16" t="str">
        <f>IF($B9="-","-",IF(VLOOKUP(ROUND(CONCATENATE($A9,CB$2),0),'Cadastro - Padrões'!$A$2:$T$1160,CB$1,FALSE)="","-",VLOOKUP(ROUND(CONCATENATE($A9,CB$2),0),'Cadastro - Padrões'!$A$2:$T$1160,CB$1,FALSE)))</f>
        <v>-</v>
      </c>
      <c r="CC9" s="16" t="str">
        <f>IF($B9="-","-",IF(VLOOKUP(ROUND(CONCATENATE($A9,CC$2),0),'Cadastro - Padrões'!$A$2:$T$1160,CC$1,FALSE)="","-",VLOOKUP(ROUND(CONCATENATE($A9,CC$2),0),'Cadastro - Padrões'!$A$2:$T$1160,CC$1,FALSE)))</f>
        <v>-</v>
      </c>
    </row>
    <row r="10" spans="1:81" x14ac:dyDescent="0.3">
      <c r="A10" s="15">
        <f t="shared" si="82"/>
        <v>5</v>
      </c>
      <c r="B10" s="16" t="str">
        <f>IF(VLOOKUP(ROUND(CONCATENATE($A10,B$2),0),'Cadastro - Padrões'!$A$2:$T$1160,B$1,FALSE)="","-",VLOOKUP(ROUND(CONCATENATE($A10,B$2),0),'Cadastro - Padrões'!$A$2:$T$1160,B$1,FALSE))</f>
        <v>E.PS.FS-008</v>
      </c>
      <c r="C10" s="16" t="str">
        <f>IF(VLOOKUP(ROUND(CONCATENATE($A10,C$2),0),'Cadastro - Padrões'!$A$2:$T$1160,C$1,FALSE)="","-",VLOOKUP(ROUND(CONCATENATE($A10,C$2),0),'Cadastro - Padrões'!$A$2:$T$1160,C$1,FALSE))</f>
        <v>Barômetro Digital</v>
      </c>
      <c r="D10" s="16" t="str">
        <f>IF($B10="-","-",VLOOKUP(ROUND(CONCATENATE($A10,D$2),0),'Cadastro - Padrões'!$A$2:$T$1160,D$1,FALSE))</f>
        <v>ELUS</v>
      </c>
      <c r="E10" s="16" t="str">
        <f>IF($B10="-","-",VLOOKUP(ROUND(CONCATENATE($A10,E$2),0),'Cadastro - Padrões'!$A$2:$T$1160,E$1,FALSE))</f>
        <v>RBC - CAL 0439</v>
      </c>
      <c r="F10" s="16" t="str">
        <f>IF($B10="-","-",VLOOKUP(ROUND(CONCATENATE($A10,F$2),0),'Cadastro - Padrões'!$A$2:$T$1160,F$1,FALSE))</f>
        <v>E0047/26</v>
      </c>
      <c r="G10" s="17">
        <f>IF($B10="-","-",VLOOKUP(ROUND(CONCATENATE($A10,G$2),0),'Cadastro - Padrões'!$A$2:$T$1160,G$1,FALSE))</f>
        <v>46055</v>
      </c>
      <c r="H10" s="18">
        <f>IF($B10="-","-",VLOOKUP(ROUND(CONCATENATE($A10,H$2),0),'Cadastro - Padrões'!$A$2:$T$1160,H$1,FALSE))</f>
        <v>46446</v>
      </c>
      <c r="I10" s="16" t="str">
        <f>IF($B10="-","-",VLOOKUP(ROUND(CONCATENATE($A10,I$2),0),'Cadastro - Padrões'!$A$2:$T$1160,I$1,FALSE))</f>
        <v>hPa</v>
      </c>
      <c r="J10" s="16">
        <f>IF($B10="-","-",VLOOKUP(ROUND(CONCATENATE($A10,J$2),0),'Cadastro - Padrões'!$A$2:$T$1160,J$1,FALSE))</f>
        <v>501.5</v>
      </c>
      <c r="K10" s="16">
        <f>IF($B10="-","-",VLOOKUP(ROUND(CONCATENATE($A10,K$2),0),'Cadastro - Padrões'!$A$2:$T$1160,K$1,FALSE))</f>
        <v>1097</v>
      </c>
      <c r="L10" s="16">
        <f>IF($B10="-","-",VLOOKUP(ROUND(CONCATENATE($A10,L$2),0),'Cadastro - Padrões'!$A$2:$T$1160,L$1,FALSE))</f>
        <v>0.1</v>
      </c>
      <c r="M10" s="19">
        <f>IF($B10="-","-",VLOOKUP(ROUND(CONCATENATE($A10,M$2),0),'Cadastro - Padrões'!$A$2:$T$1160,M$1,FALSE))</f>
        <v>2</v>
      </c>
      <c r="N10" s="16">
        <f>IF($B10="-","-",VLOOKUP(ROUND(CONCATENATE($A10,N$2),0),'Cadastro - Padrões'!$A$2:$T$1160,N$1,FALSE))</f>
        <v>0.2</v>
      </c>
      <c r="O10" s="19">
        <f>IF($B10="-","-",VLOOKUP(ROUND(CONCATENATE($A10,O$2),0),'Cadastro - Padrões'!$A$2:$T$1160,O$1,FALSE))</f>
        <v>0.5</v>
      </c>
      <c r="P10" s="16">
        <f>IF($B10="-","-",VLOOKUP(ROUND(CONCATENATE($A10,P$2),0),'Cadastro - Padrões'!$A$2:$T$1160,P$1,FALSE))</f>
        <v>7.1520873773438978E-2</v>
      </c>
      <c r="Q10" s="16">
        <f>IF($B10="-","-",VLOOKUP(ROUND(CONCATENATE($A10,Q$2),0),'Cadastro - Padrões'!$A$2:$T$1160,Q$1,FALSE))</f>
        <v>3</v>
      </c>
      <c r="R10" s="16">
        <f>IF($B10="-","-",VLOOKUP(ROUND(CONCATENATE($A10,R$2),0),'Cadastro - Padrões'!$A$2:$T$1160,R$1,FALSE))</f>
        <v>-5.766069411478351E-9</v>
      </c>
      <c r="S10" s="16">
        <f>IF($B10="-","-",VLOOKUP(ROUND(CONCATENATE($A10,S$2),0),'Cadastro - Padrões'!$A$2:$T$1160,S$1,FALSE))</f>
        <v>1.4816257133856974E-5</v>
      </c>
      <c r="T10" s="16">
        <f>IF($B10="-","-",VLOOKUP(ROUND(CONCATENATE($A10,T$2),0),'Cadastro - Padrões'!$A$2:$T$1160,T$1,FALSE))</f>
        <v>0.98712395388569296</v>
      </c>
      <c r="U10" s="16">
        <f>IF($B10="-","-",VLOOKUP(ROUND(CONCATENATE($A10,U$2),0),'Cadastro - Padrões'!$A$2:$T$1160,U$1,FALSE))</f>
        <v>1.868799295868004</v>
      </c>
      <c r="V10" s="16">
        <f>IF($B10="-","-",IF(VLOOKUP(ROUND(CONCATENATE($A10,V$2),0),'Cadastro - Padrões'!$A$2:$T$1160,V$1,FALSE)="","-",VLOOKUP(ROUND(CONCATENATE($A10,V$2),0),'Cadastro - Padrões'!$A$2:$T$1160,V$1,FALSE)))</f>
        <v>501.5</v>
      </c>
      <c r="W10" s="16">
        <f>IF($B10="-","-",IF(VLOOKUP(ROUND(CONCATENATE($A10,W$2),0),'Cadastro - Padrões'!$A$2:$T$1160,W$1,FALSE)="","-",VLOOKUP(ROUND(CONCATENATE($A10,W$2),0),'Cadastro - Padrões'!$A$2:$T$1160,W$1,FALSE)))</f>
        <v>0.2</v>
      </c>
      <c r="X10" s="16">
        <f>IF($B10="-","-",IF(VLOOKUP(ROUND(CONCATENATE($A10,X$2),0),'Cadastro - Padrões'!$A$2:$T$1160,X$1,FALSE)="","-",VLOOKUP(ROUND(CONCATENATE($A10,X$2),0),'Cadastro - Padrões'!$A$2:$T$1160,X$1,FALSE)))</f>
        <v>2</v>
      </c>
      <c r="Y10" s="16">
        <f>IF($B10="-","-",IF(VLOOKUP(ROUND(CONCATENATE($A10,Y$2),0),'Cadastro - Padrões'!$A$2:$T$1160,Y$1,FALSE)="","-",VLOOKUP(ROUND(CONCATENATE($A10,Y$2),0),'Cadastro - Padrões'!$A$2:$T$1160,Y$1,FALSE)))</f>
        <v>1000000</v>
      </c>
      <c r="Z10" s="16">
        <f>IF($B10="-","-",IF(VLOOKUP(ROUND(CONCATENATE($A10,Z$2),0),'Cadastro - Padrões'!$A$2:$T$1160,Z$1,FALSE)="","-",VLOOKUP(ROUND(CONCATENATE($A10,Z$2),0),'Cadastro - Padrões'!$A$2:$T$1160,Z$1,FALSE)))</f>
        <v>550.20000000000005</v>
      </c>
      <c r="AA10" s="16">
        <f>IF($B10="-","-",IF(VLOOKUP(ROUND(CONCATENATE($A10,AA$2),0),'Cadastro - Padrões'!$A$2:$T$1160,AA$1,FALSE)="","-",VLOOKUP(ROUND(CONCATENATE($A10,AA$2),0),'Cadastro - Padrões'!$A$2:$T$1160,AA$1,FALSE)))</f>
        <v>0.2</v>
      </c>
      <c r="AB10" s="16">
        <f>IF($B10="-","-",IF(VLOOKUP(ROUND(CONCATENATE($A10,AB$2),0),'Cadastro - Padrões'!$A$2:$T$1160,AB$1,FALSE)="","-",VLOOKUP(ROUND(CONCATENATE($A10,AB$2),0),'Cadastro - Padrões'!$A$2:$T$1160,AB$1,FALSE)))</f>
        <v>2</v>
      </c>
      <c r="AC10" s="16">
        <f>IF($B10="-","-",IF(VLOOKUP(ROUND(CONCATENATE($A10,AC$2),0),'Cadastro - Padrões'!$A$2:$T$1160,AC$1,FALSE)="","-",VLOOKUP(ROUND(CONCATENATE($A10,AC$2),0),'Cadastro - Padrões'!$A$2:$T$1160,AC$1,FALSE)))</f>
        <v>1000000</v>
      </c>
      <c r="AD10" s="16">
        <f>IF($B10="-","-",IF(VLOOKUP(ROUND(CONCATENATE($A10,AD$2),0),'Cadastro - Padrões'!$A$2:$T$1160,AD$1,FALSE)="","-",VLOOKUP(ROUND(CONCATENATE($A10,AD$2),0),'Cadastro - Padrões'!$A$2:$T$1160,AD$1,FALSE)))</f>
        <v>600.20000000000005</v>
      </c>
      <c r="AE10" s="16">
        <f>IF($B10="-","-",IF(VLOOKUP(ROUND(CONCATENATE($A10,AE$2),0),'Cadastro - Padrões'!$A$2:$T$1160,AE$1,FALSE)="","-",VLOOKUP(ROUND(CONCATENATE($A10,AE$2),0),'Cadastro - Padrões'!$A$2:$T$1160,AE$1,FALSE)))</f>
        <v>0.2</v>
      </c>
      <c r="AF10" s="16">
        <f>IF($B10="-","-",IF(VLOOKUP(ROUND(CONCATENATE($A10,AF$2),0),'Cadastro - Padrões'!$A$2:$T$1160,AF$1,FALSE)="","-",VLOOKUP(ROUND(CONCATENATE($A10,AF$2),0),'Cadastro - Padrões'!$A$2:$T$1160,AF$1,FALSE)))</f>
        <v>2</v>
      </c>
      <c r="AG10" s="16">
        <f>IF($B10="-","-",IF(VLOOKUP(ROUND(CONCATENATE($A10,AG$2),0),'Cadastro - Padrões'!$A$2:$T$1160,AG$1,FALSE)="","-",VLOOKUP(ROUND(CONCATENATE($A10,AG$2),0),'Cadastro - Padrões'!$A$2:$T$1160,AG$1,FALSE)))</f>
        <v>1000000</v>
      </c>
      <c r="AH10" s="16">
        <f>IF($B10="-","-",IF(VLOOKUP(ROUND(CONCATENATE($A10,AH$2),0),'Cadastro - Padrões'!$A$2:$T$1160,AH$1,FALSE)="","-",VLOOKUP(ROUND(CONCATENATE($A10,AH$2),0),'Cadastro - Padrões'!$A$2:$T$1160,AH$1,FALSE)))</f>
        <v>650.1</v>
      </c>
      <c r="AI10" s="16">
        <f>IF($B10="-","-",IF(VLOOKUP(ROUND(CONCATENATE($A10,AI$2),0),'Cadastro - Padrões'!$A$2:$T$1160,AI$1,FALSE)="","-",VLOOKUP(ROUND(CONCATENATE($A10,AI$2),0),'Cadastro - Padrões'!$A$2:$T$1160,AI$1,FALSE)))</f>
        <v>0.2</v>
      </c>
      <c r="AJ10" s="16">
        <f>IF($B10="-","-",IF(VLOOKUP(ROUND(CONCATENATE($A10,AJ$2),0),'Cadastro - Padrões'!$A$2:$T$1160,AJ$1,FALSE)="","-",VLOOKUP(ROUND(CONCATENATE($A10,AJ$2),0),'Cadastro - Padrões'!$A$2:$T$1160,AJ$1,FALSE)))</f>
        <v>2</v>
      </c>
      <c r="AK10" s="16">
        <f>IF($B10="-","-",IF(VLOOKUP(ROUND(CONCATENATE($A10,AK$2),0),'Cadastro - Padrões'!$A$2:$T$1160,AK$1,FALSE)="","-",VLOOKUP(ROUND(CONCATENATE($A10,AK$2),0),'Cadastro - Padrões'!$A$2:$T$1160,AK$1,FALSE)))</f>
        <v>1000000</v>
      </c>
      <c r="AL10" s="16">
        <f>IF($B10="-","-",IF(VLOOKUP(ROUND(CONCATENATE($A10,AL$2),0),'Cadastro - Padrões'!$A$2:$T$1160,AL$1,FALSE)="","-",VLOOKUP(ROUND(CONCATENATE($A10,AL$2),0),'Cadastro - Padrões'!$A$2:$T$1160,AL$1,FALSE)))</f>
        <v>700.2</v>
      </c>
      <c r="AM10" s="16">
        <f>IF($B10="-","-",IF(VLOOKUP(ROUND(CONCATENATE($A10,AM$2),0),'Cadastro - Padrões'!$A$2:$T$1160,AM$1,FALSE)="","-",VLOOKUP(ROUND(CONCATENATE($A10,AM$2),0),'Cadastro - Padrões'!$A$2:$T$1160,AM$1,FALSE)))</f>
        <v>0.2</v>
      </c>
      <c r="AN10" s="16">
        <f>IF($B10="-","-",IF(VLOOKUP(ROUND(CONCATENATE($A10,AN$2),0),'Cadastro - Padrões'!$A$2:$T$1160,AN$1,FALSE)="","-",VLOOKUP(ROUND(CONCATENATE($A10,AN$2),0),'Cadastro - Padrões'!$A$2:$T$1160,AN$1,FALSE)))</f>
        <v>2</v>
      </c>
      <c r="AO10" s="16">
        <f>IF($B10="-","-",IF(VLOOKUP(ROUND(CONCATENATE($A10,AO$2),0),'Cadastro - Padrões'!$A$2:$T$1160,AO$1,FALSE)="","-",VLOOKUP(ROUND(CONCATENATE($A10,AO$2),0),'Cadastro - Padrões'!$A$2:$T$1160,AO$1,FALSE)))</f>
        <v>1000000</v>
      </c>
      <c r="AP10" s="16">
        <f>IF($B10="-","-",IF(VLOOKUP(ROUND(CONCATENATE($A10,AP$2),0),'Cadastro - Padrões'!$A$2:$T$1160,AP$1,FALSE)="","-",VLOOKUP(ROUND(CONCATENATE($A10,AP$2),0),'Cadastro - Padrões'!$A$2:$T$1160,AP$1,FALSE)))</f>
        <v>750.2</v>
      </c>
      <c r="AQ10" s="16">
        <f>IF($B10="-","-",IF(VLOOKUP(ROUND(CONCATENATE($A10,AQ$2),0),'Cadastro - Padrões'!$A$2:$T$1160,AQ$1,FALSE)="","-",VLOOKUP(ROUND(CONCATENATE($A10,AQ$2),0),'Cadastro - Padrões'!$A$2:$T$1160,AQ$1,FALSE)))</f>
        <v>0.2</v>
      </c>
      <c r="AR10" s="16">
        <f>IF($B10="-","-",IF(VLOOKUP(ROUND(CONCATENATE($A10,AR$2),0),'Cadastro - Padrões'!$A$2:$T$1160,AR$1,FALSE)="","-",VLOOKUP(ROUND(CONCATENATE($A10,AR$2),0),'Cadastro - Padrões'!$A$2:$T$1160,AR$1,FALSE)))</f>
        <v>2</v>
      </c>
      <c r="AS10" s="16">
        <f>IF($B10="-","-",IF(VLOOKUP(ROUND(CONCATENATE($A10,AS$2),0),'Cadastro - Padrões'!$A$2:$T$1160,AS$1,FALSE)="","-",VLOOKUP(ROUND(CONCATENATE($A10,AS$2),0),'Cadastro - Padrões'!$A$2:$T$1160,AS$1,FALSE)))</f>
        <v>1000000</v>
      </c>
      <c r="AT10" s="16">
        <f>IF($B10="-","-",IF(VLOOKUP(ROUND(CONCATENATE($A10,AT$2),0),'Cadastro - Padrões'!$A$2:$T$1160,AT$1,FALSE)="","-",VLOOKUP(ROUND(CONCATENATE($A10,AT$2),0),'Cadastro - Padrões'!$A$2:$T$1160,AT$1,FALSE)))</f>
        <v>800.1</v>
      </c>
      <c r="AU10" s="16">
        <f>IF($B10="-","-",IF(VLOOKUP(ROUND(CONCATENATE($A10,AU$2),0),'Cadastro - Padrões'!$A$2:$T$1160,AU$1,FALSE)="","-",VLOOKUP(ROUND(CONCATENATE($A10,AU$2),0),'Cadastro - Padrões'!$A$2:$T$1160,AU$1,FALSE)))</f>
        <v>0.2</v>
      </c>
      <c r="AV10" s="16">
        <f>IF($B10="-","-",IF(VLOOKUP(ROUND(CONCATENATE($A10,AV$2),0),'Cadastro - Padrões'!$A$2:$T$1160,AV$1,FALSE)="","-",VLOOKUP(ROUND(CONCATENATE($A10,AV$2),0),'Cadastro - Padrões'!$A$2:$T$1160,AV$1,FALSE)))</f>
        <v>2</v>
      </c>
      <c r="AW10" s="16">
        <f>IF($B10="-","-",IF(VLOOKUP(ROUND(CONCATENATE($A10,AW$2),0),'Cadastro - Padrões'!$A$2:$T$1160,AW$1,FALSE)="","-",VLOOKUP(ROUND(CONCATENATE($A10,AW$2),0),'Cadastro - Padrões'!$A$2:$T$1160,AW$1,FALSE)))</f>
        <v>1000000</v>
      </c>
      <c r="AX10" s="16">
        <f>IF($B10="-","-",IF(VLOOKUP(ROUND(CONCATENATE($A10,AX$2),0),'Cadastro - Padrões'!$A$2:$T$1160,AX$1,FALSE)="","-",VLOOKUP(ROUND(CONCATENATE($A10,AX$2),0),'Cadastro - Padrões'!$A$2:$T$1160,AX$1,FALSE)))</f>
        <v>850.1</v>
      </c>
      <c r="AY10" s="16">
        <f>IF($B10="-","-",IF(VLOOKUP(ROUND(CONCATENATE($A10,AY$2),0),'Cadastro - Padrões'!$A$2:$T$1160,AY$1,FALSE)="","-",VLOOKUP(ROUND(CONCATENATE($A10,AY$2),0),'Cadastro - Padrões'!$A$2:$T$1160,AY$1,FALSE)))</f>
        <v>0.2</v>
      </c>
      <c r="AZ10" s="16">
        <f>IF($B10="-","-",IF(VLOOKUP(ROUND(CONCATENATE($A10,AZ$2),0),'Cadastro - Padrões'!$A$2:$T$1160,AZ$1,FALSE)="","-",VLOOKUP(ROUND(CONCATENATE($A10,AZ$2),0),'Cadastro - Padrões'!$A$2:$T$1160,AZ$1,FALSE)))</f>
        <v>2</v>
      </c>
      <c r="BA10" s="16">
        <f>IF($B10="-","-",IF(VLOOKUP(ROUND(CONCATENATE($A10,BA$2),0),'Cadastro - Padrões'!$A$2:$T$1160,BA$1,FALSE)="","-",VLOOKUP(ROUND(CONCATENATE($A10,BA$2),0),'Cadastro - Padrões'!$A$2:$T$1160,BA$1,FALSE)))</f>
        <v>1000000</v>
      </c>
      <c r="BB10" s="16">
        <f>IF($B10="-","-",IF(VLOOKUP(ROUND(CONCATENATE($A10,BB$2),0),'Cadastro - Padrões'!$A$2:$T$1160,BB$1,FALSE)="","-",VLOOKUP(ROUND(CONCATENATE($A10,BB$2),0),'Cadastro - Padrões'!$A$2:$T$1160,BB$1,FALSE)))</f>
        <v>900.1</v>
      </c>
      <c r="BC10" s="16">
        <f>IF($B10="-","-",IF(VLOOKUP(ROUND(CONCATENATE($A10,BC$2),0),'Cadastro - Padrões'!$A$2:$T$1160,BC$1,FALSE)="","-",VLOOKUP(ROUND(CONCATENATE($A10,BC$2),0),'Cadastro - Padrões'!$A$2:$T$1160,BC$1,FALSE)))</f>
        <v>0.2</v>
      </c>
      <c r="BD10" s="16">
        <f>IF($B10="-","-",IF(VLOOKUP(ROUND(CONCATENATE($A10,BD$2),0),'Cadastro - Padrões'!$A$2:$T$1160,BD$1,FALSE)="","-",VLOOKUP(ROUND(CONCATENATE($A10,BD$2),0),'Cadastro - Padrões'!$A$2:$T$1160,BD$1,FALSE)))</f>
        <v>2</v>
      </c>
      <c r="BE10" s="16">
        <f>IF($B10="-","-",IF(VLOOKUP(ROUND(CONCATENATE($A10,BE$2),0),'Cadastro - Padrões'!$A$2:$T$1160,BE$1,FALSE)="","-",VLOOKUP(ROUND(CONCATENATE($A10,BE$2),0),'Cadastro - Padrões'!$A$2:$T$1160,BE$1,FALSE)))</f>
        <v>1000000</v>
      </c>
      <c r="BF10" s="16">
        <f>IF($B10="-","-",IF(VLOOKUP(ROUND(CONCATENATE($A10,BF$2),0),'Cadastro - Padrões'!$A$2:$T$1160,BF$1,FALSE)="","-",VLOOKUP(ROUND(CONCATENATE($A10,BF$2),0),'Cadastro - Padrões'!$A$2:$T$1160,BF$1,FALSE)))</f>
        <v>950</v>
      </c>
      <c r="BG10" s="16">
        <f>IF($B10="-","-",IF(VLOOKUP(ROUND(CONCATENATE($A10,BG$2),0),'Cadastro - Padrões'!$A$2:$T$1160,BG$1,FALSE)="","-",VLOOKUP(ROUND(CONCATENATE($A10,BG$2),0),'Cadastro - Padrões'!$A$2:$T$1160,BG$1,FALSE)))</f>
        <v>0.2</v>
      </c>
      <c r="BH10" s="16">
        <f>IF($B10="-","-",IF(VLOOKUP(ROUND(CONCATENATE($A10,BH$2),0),'Cadastro - Padrões'!$A$2:$T$1160,BH$1,FALSE)="","-",VLOOKUP(ROUND(CONCATENATE($A10,BH$2),0),'Cadastro - Padrões'!$A$2:$T$1160,BH$1,FALSE)))</f>
        <v>2</v>
      </c>
      <c r="BI10" s="16">
        <f>IF($B10="-","-",IF(VLOOKUP(ROUND(CONCATENATE($A10,BI$2),0),'Cadastro - Padrões'!$A$2:$T$1160,BI$1,FALSE)="","-",VLOOKUP(ROUND(CONCATENATE($A10,BI$2),0),'Cadastro - Padrões'!$A$2:$T$1160,BI$1,FALSE)))</f>
        <v>1000000</v>
      </c>
      <c r="BJ10" s="16">
        <f>IF($B10="-","-",IF(VLOOKUP(ROUND(CONCATENATE($A10,BJ$2),0),'Cadastro - Padrões'!$A$2:$T$1160,BJ$1,FALSE)="","-",VLOOKUP(ROUND(CONCATENATE($A10,BJ$2),0),'Cadastro - Padrões'!$A$2:$T$1160,BJ$1,FALSE)))</f>
        <v>1000</v>
      </c>
      <c r="BK10" s="16">
        <f>IF($B10="-","-",IF(VLOOKUP(ROUND(CONCATENATE($A10,BK$2),0),'Cadastro - Padrões'!$A$2:$T$1160,BK$1,FALSE)="","-",VLOOKUP(ROUND(CONCATENATE($A10,BK$2),0),'Cadastro - Padrões'!$A$2:$T$1160,BK$1,FALSE)))</f>
        <v>0.2</v>
      </c>
      <c r="BL10" s="16">
        <f>IF($B10="-","-",IF(VLOOKUP(ROUND(CONCATENATE($A10,BL$2),0),'Cadastro - Padrões'!$A$2:$T$1160,BL$1,FALSE)="","-",VLOOKUP(ROUND(CONCATENATE($A10,BL$2),0),'Cadastro - Padrões'!$A$2:$T$1160,BL$1,FALSE)))</f>
        <v>2</v>
      </c>
      <c r="BM10" s="16">
        <f>IF($B10="-","-",IF(VLOOKUP(ROUND(CONCATENATE($A10,BM$2),0),'Cadastro - Padrões'!$A$2:$T$1160,BM$1,FALSE)="","-",VLOOKUP(ROUND(CONCATENATE($A10,BM$2),0),'Cadastro - Padrões'!$A$2:$T$1160,BM$1,FALSE)))</f>
        <v>1000000</v>
      </c>
      <c r="BN10" s="16">
        <f>IF($B10="-","-",IF(VLOOKUP(ROUND(CONCATENATE($A10,BN$2),0),'Cadastro - Padrões'!$A$2:$T$1160,BN$1,FALSE)="","-",VLOOKUP(ROUND(CONCATENATE($A10,BN$2),0),'Cadastro - Padrões'!$A$2:$T$1160,BN$1,FALSE)))</f>
        <v>1050</v>
      </c>
      <c r="BO10" s="16">
        <f>IF($B10="-","-",IF(VLOOKUP(ROUND(CONCATENATE($A10,BO$2),0),'Cadastro - Padrões'!$A$2:$T$1160,BO$1,FALSE)="","-",VLOOKUP(ROUND(CONCATENATE($A10,BO$2),0),'Cadastro - Padrões'!$A$2:$T$1160,BO$1,FALSE)))</f>
        <v>0.2</v>
      </c>
      <c r="BP10" s="16">
        <f>IF($B10="-","-",IF(VLOOKUP(ROUND(CONCATENATE($A10,BP$2),0),'Cadastro - Padrões'!$A$2:$T$1160,BP$1,FALSE)="","-",VLOOKUP(ROUND(CONCATENATE($A10,BP$2),0),'Cadastro - Padrões'!$A$2:$T$1160,BP$1,FALSE)))</f>
        <v>2</v>
      </c>
      <c r="BQ10" s="16">
        <f>IF($B10="-","-",IF(VLOOKUP(ROUND(CONCATENATE($A10,BQ$2),0),'Cadastro - Padrões'!$A$2:$T$1160,BQ$1,FALSE)="","-",VLOOKUP(ROUND(CONCATENATE($A10,BQ$2),0),'Cadastro - Padrões'!$A$2:$T$1160,BQ$1,FALSE)))</f>
        <v>1000000</v>
      </c>
      <c r="BR10" s="16">
        <f>IF($B10="-","-",IF(VLOOKUP(ROUND(CONCATENATE($A10,BR$2),0),'Cadastro - Padrões'!$A$2:$T$1160,BR$1,FALSE)="","-",VLOOKUP(ROUND(CONCATENATE($A10,BR$2),0),'Cadastro - Padrões'!$A$2:$T$1160,BR$1,FALSE)))</f>
        <v>1097</v>
      </c>
      <c r="BS10" s="16">
        <f>IF($B10="-","-",IF(VLOOKUP(ROUND(CONCATENATE($A10,BS$2),0),'Cadastro - Padrões'!$A$2:$T$1160,BS$1,FALSE)="","-",VLOOKUP(ROUND(CONCATENATE($A10,BS$2),0),'Cadastro - Padrões'!$A$2:$T$1160,BS$1,FALSE)))</f>
        <v>0.2</v>
      </c>
      <c r="BT10" s="16">
        <f>IF($B10="-","-",IF(VLOOKUP(ROUND(CONCATENATE($A10,BT$2),0),'Cadastro - Padrões'!$A$2:$T$1160,BT$1,FALSE)="","-",VLOOKUP(ROUND(CONCATENATE($A10,BT$2),0),'Cadastro - Padrões'!$A$2:$T$1160,BT$1,FALSE)))</f>
        <v>2</v>
      </c>
      <c r="BU10" s="16">
        <f>IF($B10="-","-",IF(VLOOKUP(ROUND(CONCATENATE($A10,BU$2),0),'Cadastro - Padrões'!$A$2:$T$1160,BU$1,FALSE)="","-",VLOOKUP(ROUND(CONCATENATE($A10,BU$2),0),'Cadastro - Padrões'!$A$2:$T$1160,BU$1,FALSE)))</f>
        <v>1000000</v>
      </c>
      <c r="BV10" s="16" t="str">
        <f>IF($B10="-","-",IF(VLOOKUP(ROUND(CONCATENATE($A10,BV$2),0),'Cadastro - Padrões'!$A$2:$T$1160,BV$1,FALSE)="","-",VLOOKUP(ROUND(CONCATENATE($A10,BV$2),0),'Cadastro - Padrões'!$A$2:$T$1160,BV$1,FALSE)))</f>
        <v>-</v>
      </c>
      <c r="BW10" s="16" t="str">
        <f>IF($B10="-","-",IF(VLOOKUP(ROUND(CONCATENATE($A10,BW$2),0),'Cadastro - Padrões'!$A$2:$T$1160,BW$1,FALSE)="","-",VLOOKUP(ROUND(CONCATENATE($A10,BW$2),0),'Cadastro - Padrões'!$A$2:$T$1160,BW$1,FALSE)))</f>
        <v>-</v>
      </c>
      <c r="BX10" s="16" t="str">
        <f>IF($B10="-","-",IF(VLOOKUP(ROUND(CONCATENATE($A10,BX$2),0),'Cadastro - Padrões'!$A$2:$T$1160,BX$1,FALSE)="","-",VLOOKUP(ROUND(CONCATENATE($A10,BX$2),0),'Cadastro - Padrões'!$A$2:$T$1160,BX$1,FALSE)))</f>
        <v>-</v>
      </c>
      <c r="BY10" s="16" t="str">
        <f>IF($B10="-","-",IF(VLOOKUP(ROUND(CONCATENATE($A10,BY$2),0),'Cadastro - Padrões'!$A$2:$T$1160,BY$1,FALSE)="","-",VLOOKUP(ROUND(CONCATENATE($A10,BY$2),0),'Cadastro - Padrões'!$A$2:$T$1160,BY$1,FALSE)))</f>
        <v>-</v>
      </c>
      <c r="BZ10" s="16" t="str">
        <f>IF($B10="-","-",IF(VLOOKUP(ROUND(CONCATENATE($A10,BZ$2),0),'Cadastro - Padrões'!$A$2:$T$1160,BZ$1,FALSE)="","-",VLOOKUP(ROUND(CONCATENATE($A10,BZ$2),0),'Cadastro - Padrões'!$A$2:$T$1160,BZ$1,FALSE)))</f>
        <v>-</v>
      </c>
      <c r="CA10" s="16" t="str">
        <f>IF($B10="-","-",IF(VLOOKUP(ROUND(CONCATENATE($A10,CA$2),0),'Cadastro - Padrões'!$A$2:$T$1160,CA$1,FALSE)="","-",VLOOKUP(ROUND(CONCATENATE($A10,CA$2),0),'Cadastro - Padrões'!$A$2:$T$1160,CA$1,FALSE)))</f>
        <v>-</v>
      </c>
      <c r="CB10" s="16" t="str">
        <f>IF($B10="-","-",IF(VLOOKUP(ROUND(CONCATENATE($A10,CB$2),0),'Cadastro - Padrões'!$A$2:$T$1160,CB$1,FALSE)="","-",VLOOKUP(ROUND(CONCATENATE($A10,CB$2),0),'Cadastro - Padrões'!$A$2:$T$1160,CB$1,FALSE)))</f>
        <v>-</v>
      </c>
      <c r="CC10" s="16" t="str">
        <f>IF($B10="-","-",IF(VLOOKUP(ROUND(CONCATENATE($A10,CC$2),0),'Cadastro - Padrões'!$A$2:$T$1160,CC$1,FALSE)="","-",VLOOKUP(ROUND(CONCATENATE($A10,CC$2),0),'Cadastro - Padrões'!$A$2:$T$1160,CC$1,FALSE)))</f>
        <v>-</v>
      </c>
    </row>
    <row r="11" spans="1:81" x14ac:dyDescent="0.3">
      <c r="A11" s="15">
        <f t="shared" si="82"/>
        <v>6</v>
      </c>
      <c r="B11" s="16" t="str">
        <f>IF(VLOOKUP(ROUND(CONCATENATE($A11,B$2),0),'Cadastro - Padrões'!$A$2:$T$1160,B$1,FALSE)="","-",VLOOKUP(ROUND(CONCATENATE($A11,B$2),0),'Cadastro - Padrões'!$A$2:$T$1160,B$1,FALSE))</f>
        <v>E.PS.FS-009</v>
      </c>
      <c r="C11" s="16" t="str">
        <f>IF(VLOOKUP(ROUND(CONCATENATE($A11,C$2),0),'Cadastro - Padrões'!$A$2:$T$1160,C$1,FALSE)="","-",VLOOKUP(ROUND(CONCATENATE($A11,C$2),0),'Cadastro - Padrões'!$A$2:$T$1160,C$1,FALSE))</f>
        <v>Barômetro Digital</v>
      </c>
      <c r="D11" s="16" t="str">
        <f>IF($B11="-","-",VLOOKUP(ROUND(CONCATENATE($A11,D$2),0),'Cadastro - Padrões'!$A$2:$T$1160,D$1,FALSE))</f>
        <v>ELUS</v>
      </c>
      <c r="E11" s="16" t="str">
        <f>IF($B11="-","-",VLOOKUP(ROUND(CONCATENATE($A11,E$2),0),'Cadastro - Padrões'!$A$2:$T$1160,E$1,FALSE))</f>
        <v>RBC - CAL 0439</v>
      </c>
      <c r="F11" s="16" t="str">
        <f>IF($B11="-","-",VLOOKUP(ROUND(CONCATENATE($A11,F$2),0),'Cadastro - Padrões'!$A$2:$T$1160,F$1,FALSE))</f>
        <v>E0094/26</v>
      </c>
      <c r="G11" s="17">
        <f>IF($B11="-","-",VLOOKUP(ROUND(CONCATENATE($A11,G$2),0),'Cadastro - Padrões'!$A$2:$T$1160,G$1,FALSE))</f>
        <v>46071</v>
      </c>
      <c r="H11" s="18">
        <f>IF($B11="-","-",VLOOKUP(ROUND(CONCATENATE($A11,H$2),0),'Cadastro - Padrões'!$A$2:$T$1160,H$1,FALSE))</f>
        <v>46446</v>
      </c>
      <c r="I11" s="16" t="str">
        <f>IF($B11="-","-",VLOOKUP(ROUND(CONCATENATE($A11,I$2),0),'Cadastro - Padrões'!$A$2:$T$1160,I$1,FALSE))</f>
        <v>hPa</v>
      </c>
      <c r="J11" s="16">
        <f>IF($B11="-","-",VLOOKUP(ROUND(CONCATENATE($A11,J$2),0),'Cadastro - Padrões'!$A$2:$T$1160,J$1,FALSE))</f>
        <v>500</v>
      </c>
      <c r="K11" s="16">
        <f>IF($B11="-","-",VLOOKUP(ROUND(CONCATENATE($A11,K$2),0),'Cadastro - Padrões'!$A$2:$T$1160,K$1,FALSE))</f>
        <v>1099.9000000000001</v>
      </c>
      <c r="L11" s="16">
        <f>IF($B11="-","-",VLOOKUP(ROUND(CONCATENATE($A11,L$2),0),'Cadastro - Padrões'!$A$2:$T$1160,L$1,FALSE))</f>
        <v>0.1</v>
      </c>
      <c r="M11" s="19">
        <f>IF($B11="-","-",VLOOKUP(ROUND(CONCATENATE($A11,M$2),0),'Cadastro - Padrões'!$A$2:$T$1160,M$1,FALSE))</f>
        <v>0.10000000000002274</v>
      </c>
      <c r="N11" s="16">
        <f>IF($B11="-","-",VLOOKUP(ROUND(CONCATENATE($A11,N$2),0),'Cadastro - Padrões'!$A$2:$T$1160,N$1,FALSE))</f>
        <v>0.3</v>
      </c>
      <c r="O11" s="19">
        <f>IF($B11="-","-",VLOOKUP(ROUND(CONCATENATE($A11,O$2),0),'Cadastro - Padrões'!$A$2:$T$1160,O$1,FALSE))</f>
        <v>0.5</v>
      </c>
      <c r="P11" s="16">
        <f>IF($B11="-","-",VLOOKUP(ROUND(CONCATENATE($A11,P$2),0),'Cadastro - Padrões'!$A$2:$T$1160,P$1,FALSE))</f>
        <v>3.8627956095552779E-2</v>
      </c>
      <c r="Q11" s="16">
        <f>IF($B11="-","-",VLOOKUP(ROUND(CONCATENATE($A11,Q$2),0),'Cadastro - Padrões'!$A$2:$T$1160,Q$1,FALSE))</f>
        <v>3</v>
      </c>
      <c r="R11" s="16">
        <f>IF($B11="-","-",VLOOKUP(ROUND(CONCATENATE($A11,R$2),0),'Cadastro - Padrões'!$A$2:$T$1160,R$1,FALSE))</f>
        <v>-2.3310023309462804E-10</v>
      </c>
      <c r="S11" s="16">
        <f>IF($B11="-","-",VLOOKUP(ROUND(CONCATENATE($A11,S$2),0),'Cadastro - Padrões'!$A$2:$T$1160,S$1,FALSE))</f>
        <v>8.9910089908734612E-7</v>
      </c>
      <c r="T11" s="16">
        <f>IF($B11="-","-",VLOOKUP(ROUND(CONCATENATE($A11,T$2),0),'Cadastro - Padrões'!$A$2:$T$1160,T$1,FALSE))</f>
        <v>0.99883674658675758</v>
      </c>
      <c r="U11" s="16">
        <f>IF($B11="-","-",VLOOKUP(ROUND(CONCATENATE($A11,U$2),0),'Cadastro - Padrões'!$A$2:$T$1160,U$1,FALSE))</f>
        <v>0.40109890109578289</v>
      </c>
      <c r="V11" s="16">
        <f>IF($B11="-","-",IF(VLOOKUP(ROUND(CONCATENATE($A11,V$2),0),'Cadastro - Padrões'!$A$2:$T$1160,V$1,FALSE)="","-",VLOOKUP(ROUND(CONCATENATE($A11,V$2),0),'Cadastro - Padrões'!$A$2:$T$1160,V$1,FALSE)))</f>
        <v>500</v>
      </c>
      <c r="W11" s="16">
        <f>IF($B11="-","-",IF(VLOOKUP(ROUND(CONCATENATE($A11,W$2),0),'Cadastro - Padrões'!$A$2:$T$1160,W$1,FALSE)="","-",VLOOKUP(ROUND(CONCATENATE($A11,W$2),0),'Cadastro - Padrões'!$A$2:$T$1160,W$1,FALSE)))</f>
        <v>0.3</v>
      </c>
      <c r="X11" s="16">
        <f>IF($B11="-","-",IF(VLOOKUP(ROUND(CONCATENATE($A11,X$2),0),'Cadastro - Padrões'!$A$2:$T$1160,X$1,FALSE)="","-",VLOOKUP(ROUND(CONCATENATE($A11,X$2),0),'Cadastro - Padrões'!$A$2:$T$1160,X$1,FALSE)))</f>
        <v>2</v>
      </c>
      <c r="Y11" s="16">
        <f>IF($B11="-","-",IF(VLOOKUP(ROUND(CONCATENATE($A11,Y$2),0),'Cadastro - Padrões'!$A$2:$T$1160,Y$1,FALSE)="","-",VLOOKUP(ROUND(CONCATENATE($A11,Y$2),0),'Cadastro - Padrões'!$A$2:$T$1160,Y$1,FALSE)))</f>
        <v>1000000</v>
      </c>
      <c r="Z11" s="16">
        <f>IF($B11="-","-",IF(VLOOKUP(ROUND(CONCATENATE($A11,Z$2),0),'Cadastro - Padrões'!$A$2:$T$1160,Z$1,FALSE)="","-",VLOOKUP(ROUND(CONCATENATE($A11,Z$2),0),'Cadastro - Padrões'!$A$2:$T$1160,Z$1,FALSE)))</f>
        <v>550</v>
      </c>
      <c r="AA11" s="16">
        <f>IF($B11="-","-",IF(VLOOKUP(ROUND(CONCATENATE($A11,AA$2),0),'Cadastro - Padrões'!$A$2:$T$1160,AA$1,FALSE)="","-",VLOOKUP(ROUND(CONCATENATE($A11,AA$2),0),'Cadastro - Padrões'!$A$2:$T$1160,AA$1,FALSE)))</f>
        <v>0.3</v>
      </c>
      <c r="AB11" s="16">
        <f>IF($B11="-","-",IF(VLOOKUP(ROUND(CONCATENATE($A11,AB$2),0),'Cadastro - Padrões'!$A$2:$T$1160,AB$1,FALSE)="","-",VLOOKUP(ROUND(CONCATENATE($A11,AB$2),0),'Cadastro - Padrões'!$A$2:$T$1160,AB$1,FALSE)))</f>
        <v>2</v>
      </c>
      <c r="AC11" s="16">
        <f>IF($B11="-","-",IF(VLOOKUP(ROUND(CONCATENATE($A11,AC$2),0),'Cadastro - Padrões'!$A$2:$T$1160,AC$1,FALSE)="","-",VLOOKUP(ROUND(CONCATENATE($A11,AC$2),0),'Cadastro - Padrões'!$A$2:$T$1160,AC$1,FALSE)))</f>
        <v>1000000</v>
      </c>
      <c r="AD11" s="16">
        <f>IF($B11="-","-",IF(VLOOKUP(ROUND(CONCATENATE($A11,AD$2),0),'Cadastro - Padrões'!$A$2:$T$1160,AD$1,FALSE)="","-",VLOOKUP(ROUND(CONCATENATE($A11,AD$2),0),'Cadastro - Padrões'!$A$2:$T$1160,AD$1,FALSE)))</f>
        <v>600</v>
      </c>
      <c r="AE11" s="16">
        <f>IF($B11="-","-",IF(VLOOKUP(ROUND(CONCATENATE($A11,AE$2),0),'Cadastro - Padrões'!$A$2:$T$1160,AE$1,FALSE)="","-",VLOOKUP(ROUND(CONCATENATE($A11,AE$2),0),'Cadastro - Padrões'!$A$2:$T$1160,AE$1,FALSE)))</f>
        <v>0.3</v>
      </c>
      <c r="AF11" s="16">
        <f>IF($B11="-","-",IF(VLOOKUP(ROUND(CONCATENATE($A11,AF$2),0),'Cadastro - Padrões'!$A$2:$T$1160,AF$1,FALSE)="","-",VLOOKUP(ROUND(CONCATENATE($A11,AF$2),0),'Cadastro - Padrões'!$A$2:$T$1160,AF$1,FALSE)))</f>
        <v>2</v>
      </c>
      <c r="AG11" s="16">
        <f>IF($B11="-","-",IF(VLOOKUP(ROUND(CONCATENATE($A11,AG$2),0),'Cadastro - Padrões'!$A$2:$T$1160,AG$1,FALSE)="","-",VLOOKUP(ROUND(CONCATENATE($A11,AG$2),0),'Cadastro - Padrões'!$A$2:$T$1160,AG$1,FALSE)))</f>
        <v>1000000</v>
      </c>
      <c r="AH11" s="16">
        <f>IF($B11="-","-",IF(VLOOKUP(ROUND(CONCATENATE($A11,AH$2),0),'Cadastro - Padrões'!$A$2:$T$1160,AH$1,FALSE)="","-",VLOOKUP(ROUND(CONCATENATE($A11,AH$2),0),'Cadastro - Padrões'!$A$2:$T$1160,AH$1,FALSE)))</f>
        <v>650</v>
      </c>
      <c r="AI11" s="16">
        <f>IF($B11="-","-",IF(VLOOKUP(ROUND(CONCATENATE($A11,AI$2),0),'Cadastro - Padrões'!$A$2:$T$1160,AI$1,FALSE)="","-",VLOOKUP(ROUND(CONCATENATE($A11,AI$2),0),'Cadastro - Padrões'!$A$2:$T$1160,AI$1,FALSE)))</f>
        <v>0.3</v>
      </c>
      <c r="AJ11" s="16">
        <f>IF($B11="-","-",IF(VLOOKUP(ROUND(CONCATENATE($A11,AJ$2),0),'Cadastro - Padrões'!$A$2:$T$1160,AJ$1,FALSE)="","-",VLOOKUP(ROUND(CONCATENATE($A11,AJ$2),0),'Cadastro - Padrões'!$A$2:$T$1160,AJ$1,FALSE)))</f>
        <v>2</v>
      </c>
      <c r="AK11" s="16">
        <f>IF($B11="-","-",IF(VLOOKUP(ROUND(CONCATENATE($A11,AK$2),0),'Cadastro - Padrões'!$A$2:$T$1160,AK$1,FALSE)="","-",VLOOKUP(ROUND(CONCATENATE($A11,AK$2),0),'Cadastro - Padrões'!$A$2:$T$1160,AK$1,FALSE)))</f>
        <v>1000000</v>
      </c>
      <c r="AL11" s="16">
        <f>IF($B11="-","-",IF(VLOOKUP(ROUND(CONCATENATE($A11,AL$2),0),'Cadastro - Padrões'!$A$2:$T$1160,AL$1,FALSE)="","-",VLOOKUP(ROUND(CONCATENATE($A11,AL$2),0),'Cadastro - Padrões'!$A$2:$T$1160,AL$1,FALSE)))</f>
        <v>699.9</v>
      </c>
      <c r="AM11" s="16">
        <f>IF($B11="-","-",IF(VLOOKUP(ROUND(CONCATENATE($A11,AM$2),0),'Cadastro - Padrões'!$A$2:$T$1160,AM$1,FALSE)="","-",VLOOKUP(ROUND(CONCATENATE($A11,AM$2),0),'Cadastro - Padrões'!$A$2:$T$1160,AM$1,FALSE)))</f>
        <v>0.3</v>
      </c>
      <c r="AN11" s="16">
        <f>IF($B11="-","-",IF(VLOOKUP(ROUND(CONCATENATE($A11,AN$2),0),'Cadastro - Padrões'!$A$2:$T$1160,AN$1,FALSE)="","-",VLOOKUP(ROUND(CONCATENATE($A11,AN$2),0),'Cadastro - Padrões'!$A$2:$T$1160,AN$1,FALSE)))</f>
        <v>2</v>
      </c>
      <c r="AO11" s="16">
        <f>IF($B11="-","-",IF(VLOOKUP(ROUND(CONCATENATE($A11,AO$2),0),'Cadastro - Padrões'!$A$2:$T$1160,AO$1,FALSE)="","-",VLOOKUP(ROUND(CONCATENATE($A11,AO$2),0),'Cadastro - Padrões'!$A$2:$T$1160,AO$1,FALSE)))</f>
        <v>1000000</v>
      </c>
      <c r="AP11" s="16">
        <f>IF($B11="-","-",IF(VLOOKUP(ROUND(CONCATENATE($A11,AP$2),0),'Cadastro - Padrões'!$A$2:$T$1160,AP$1,FALSE)="","-",VLOOKUP(ROUND(CONCATENATE($A11,AP$2),0),'Cadastro - Padrões'!$A$2:$T$1160,AP$1,FALSE)))</f>
        <v>749.9</v>
      </c>
      <c r="AQ11" s="16">
        <f>IF($B11="-","-",IF(VLOOKUP(ROUND(CONCATENATE($A11,AQ$2),0),'Cadastro - Padrões'!$A$2:$T$1160,AQ$1,FALSE)="","-",VLOOKUP(ROUND(CONCATENATE($A11,AQ$2),0),'Cadastro - Padrões'!$A$2:$T$1160,AQ$1,FALSE)))</f>
        <v>0.3</v>
      </c>
      <c r="AR11" s="16">
        <f>IF($B11="-","-",IF(VLOOKUP(ROUND(CONCATENATE($A11,AR$2),0),'Cadastro - Padrões'!$A$2:$T$1160,AR$1,FALSE)="","-",VLOOKUP(ROUND(CONCATENATE($A11,AR$2),0),'Cadastro - Padrões'!$A$2:$T$1160,AR$1,FALSE)))</f>
        <v>2</v>
      </c>
      <c r="AS11" s="16">
        <f>IF($B11="-","-",IF(VLOOKUP(ROUND(CONCATENATE($A11,AS$2),0),'Cadastro - Padrões'!$A$2:$T$1160,AS$1,FALSE)="","-",VLOOKUP(ROUND(CONCATENATE($A11,AS$2),0),'Cadastro - Padrões'!$A$2:$T$1160,AS$1,FALSE)))</f>
        <v>1000000</v>
      </c>
      <c r="AT11" s="16">
        <f>IF($B11="-","-",IF(VLOOKUP(ROUND(CONCATENATE($A11,AT$2),0),'Cadastro - Padrões'!$A$2:$T$1160,AT$1,FALSE)="","-",VLOOKUP(ROUND(CONCATENATE($A11,AT$2),0),'Cadastro - Padrões'!$A$2:$T$1160,AT$1,FALSE)))</f>
        <v>799.9</v>
      </c>
      <c r="AU11" s="16">
        <f>IF($B11="-","-",IF(VLOOKUP(ROUND(CONCATENATE($A11,AU$2),0),'Cadastro - Padrões'!$A$2:$T$1160,AU$1,FALSE)="","-",VLOOKUP(ROUND(CONCATENATE($A11,AU$2),0),'Cadastro - Padrões'!$A$2:$T$1160,AU$1,FALSE)))</f>
        <v>0.3</v>
      </c>
      <c r="AV11" s="16">
        <f>IF($B11="-","-",IF(VLOOKUP(ROUND(CONCATENATE($A11,AV$2),0),'Cadastro - Padrões'!$A$2:$T$1160,AV$1,FALSE)="","-",VLOOKUP(ROUND(CONCATENATE($A11,AV$2),0),'Cadastro - Padrões'!$A$2:$T$1160,AV$1,FALSE)))</f>
        <v>2</v>
      </c>
      <c r="AW11" s="16">
        <f>IF($B11="-","-",IF(VLOOKUP(ROUND(CONCATENATE($A11,AW$2),0),'Cadastro - Padrões'!$A$2:$T$1160,AW$1,FALSE)="","-",VLOOKUP(ROUND(CONCATENATE($A11,AW$2),0),'Cadastro - Padrões'!$A$2:$T$1160,AW$1,FALSE)))</f>
        <v>1000000</v>
      </c>
      <c r="AX11" s="16">
        <f>IF($B11="-","-",IF(VLOOKUP(ROUND(CONCATENATE($A11,AX$2),0),'Cadastro - Padrões'!$A$2:$T$1160,AX$1,FALSE)="","-",VLOOKUP(ROUND(CONCATENATE($A11,AX$2),0),'Cadastro - Padrões'!$A$2:$T$1160,AX$1,FALSE)))</f>
        <v>850</v>
      </c>
      <c r="AY11" s="16">
        <f>IF($B11="-","-",IF(VLOOKUP(ROUND(CONCATENATE($A11,AY$2),0),'Cadastro - Padrões'!$A$2:$T$1160,AY$1,FALSE)="","-",VLOOKUP(ROUND(CONCATENATE($A11,AY$2),0),'Cadastro - Padrões'!$A$2:$T$1160,AY$1,FALSE)))</f>
        <v>0.3</v>
      </c>
      <c r="AZ11" s="16">
        <f>IF($B11="-","-",IF(VLOOKUP(ROUND(CONCATENATE($A11,AZ$2),0),'Cadastro - Padrões'!$A$2:$T$1160,AZ$1,FALSE)="","-",VLOOKUP(ROUND(CONCATENATE($A11,AZ$2),0),'Cadastro - Padrões'!$A$2:$T$1160,AZ$1,FALSE)))</f>
        <v>2</v>
      </c>
      <c r="BA11" s="16">
        <f>IF($B11="-","-",IF(VLOOKUP(ROUND(CONCATENATE($A11,BA$2),0),'Cadastro - Padrões'!$A$2:$T$1160,BA$1,FALSE)="","-",VLOOKUP(ROUND(CONCATENATE($A11,BA$2),0),'Cadastro - Padrões'!$A$2:$T$1160,BA$1,FALSE)))</f>
        <v>1000000</v>
      </c>
      <c r="BB11" s="16">
        <f>IF($B11="-","-",IF(VLOOKUP(ROUND(CONCATENATE($A11,BB$2),0),'Cadastro - Padrões'!$A$2:$T$1160,BB$1,FALSE)="","-",VLOOKUP(ROUND(CONCATENATE($A11,BB$2),0),'Cadastro - Padrões'!$A$2:$T$1160,BB$1,FALSE)))</f>
        <v>899.9</v>
      </c>
      <c r="BC11" s="16">
        <f>IF($B11="-","-",IF(VLOOKUP(ROUND(CONCATENATE($A11,BC$2),0),'Cadastro - Padrões'!$A$2:$T$1160,BC$1,FALSE)="","-",VLOOKUP(ROUND(CONCATENATE($A11,BC$2),0),'Cadastro - Padrões'!$A$2:$T$1160,BC$1,FALSE)))</f>
        <v>0.3</v>
      </c>
      <c r="BD11" s="16">
        <f>IF($B11="-","-",IF(VLOOKUP(ROUND(CONCATENATE($A11,BD$2),0),'Cadastro - Padrões'!$A$2:$T$1160,BD$1,FALSE)="","-",VLOOKUP(ROUND(CONCATENATE($A11,BD$2),0),'Cadastro - Padrões'!$A$2:$T$1160,BD$1,FALSE)))</f>
        <v>2</v>
      </c>
      <c r="BE11" s="16">
        <f>IF($B11="-","-",IF(VLOOKUP(ROUND(CONCATENATE($A11,BE$2),0),'Cadastro - Padrões'!$A$2:$T$1160,BE$1,FALSE)="","-",VLOOKUP(ROUND(CONCATENATE($A11,BE$2),0),'Cadastro - Padrões'!$A$2:$T$1160,BE$1,FALSE)))</f>
        <v>1000000</v>
      </c>
      <c r="BF11" s="16">
        <f>IF($B11="-","-",IF(VLOOKUP(ROUND(CONCATENATE($A11,BF$2),0),'Cadastro - Padrões'!$A$2:$T$1160,BF$1,FALSE)="","-",VLOOKUP(ROUND(CONCATENATE($A11,BF$2),0),'Cadastro - Padrões'!$A$2:$T$1160,BF$1,FALSE)))</f>
        <v>949.9</v>
      </c>
      <c r="BG11" s="16">
        <f>IF($B11="-","-",IF(VLOOKUP(ROUND(CONCATENATE($A11,BG$2),0),'Cadastro - Padrões'!$A$2:$T$1160,BG$1,FALSE)="","-",VLOOKUP(ROUND(CONCATENATE($A11,BG$2),0),'Cadastro - Padrões'!$A$2:$T$1160,BG$1,FALSE)))</f>
        <v>0.3</v>
      </c>
      <c r="BH11" s="16">
        <f>IF($B11="-","-",IF(VLOOKUP(ROUND(CONCATENATE($A11,BH$2),0),'Cadastro - Padrões'!$A$2:$T$1160,BH$1,FALSE)="","-",VLOOKUP(ROUND(CONCATENATE($A11,BH$2),0),'Cadastro - Padrões'!$A$2:$T$1160,BH$1,FALSE)))</f>
        <v>2</v>
      </c>
      <c r="BI11" s="16">
        <f>IF($B11="-","-",IF(VLOOKUP(ROUND(CONCATENATE($A11,BI$2),0),'Cadastro - Padrões'!$A$2:$T$1160,BI$1,FALSE)="","-",VLOOKUP(ROUND(CONCATENATE($A11,BI$2),0),'Cadastro - Padrões'!$A$2:$T$1160,BI$1,FALSE)))</f>
        <v>1000000</v>
      </c>
      <c r="BJ11" s="16">
        <f>IF($B11="-","-",IF(VLOOKUP(ROUND(CONCATENATE($A11,BJ$2),0),'Cadastro - Padrões'!$A$2:$T$1160,BJ$1,FALSE)="","-",VLOOKUP(ROUND(CONCATENATE($A11,BJ$2),0),'Cadastro - Padrões'!$A$2:$T$1160,BJ$1,FALSE)))</f>
        <v>999.9</v>
      </c>
      <c r="BK11" s="16">
        <f>IF($B11="-","-",IF(VLOOKUP(ROUND(CONCATENATE($A11,BK$2),0),'Cadastro - Padrões'!$A$2:$T$1160,BK$1,FALSE)="","-",VLOOKUP(ROUND(CONCATENATE($A11,BK$2),0),'Cadastro - Padrões'!$A$2:$T$1160,BK$1,FALSE)))</f>
        <v>0.3</v>
      </c>
      <c r="BL11" s="16">
        <f>IF($B11="-","-",IF(VLOOKUP(ROUND(CONCATENATE($A11,BL$2),0),'Cadastro - Padrões'!$A$2:$T$1160,BL$1,FALSE)="","-",VLOOKUP(ROUND(CONCATENATE($A11,BL$2),0),'Cadastro - Padrões'!$A$2:$T$1160,BL$1,FALSE)))</f>
        <v>2</v>
      </c>
      <c r="BM11" s="16">
        <f>IF($B11="-","-",IF(VLOOKUP(ROUND(CONCATENATE($A11,BM$2),0),'Cadastro - Padrões'!$A$2:$T$1160,BM$1,FALSE)="","-",VLOOKUP(ROUND(CONCATENATE($A11,BM$2),0),'Cadastro - Padrões'!$A$2:$T$1160,BM$1,FALSE)))</f>
        <v>1000000</v>
      </c>
      <c r="BN11" s="16">
        <f>IF($B11="-","-",IF(VLOOKUP(ROUND(CONCATENATE($A11,BN$2),0),'Cadastro - Padrões'!$A$2:$T$1160,BN$1,FALSE)="","-",VLOOKUP(ROUND(CONCATENATE($A11,BN$2),0),'Cadastro - Padrões'!$A$2:$T$1160,BN$1,FALSE)))</f>
        <v>1049.9000000000001</v>
      </c>
      <c r="BO11" s="16">
        <f>IF($B11="-","-",IF(VLOOKUP(ROUND(CONCATENATE($A11,BO$2),0),'Cadastro - Padrões'!$A$2:$T$1160,BO$1,FALSE)="","-",VLOOKUP(ROUND(CONCATENATE($A11,BO$2),0),'Cadastro - Padrões'!$A$2:$T$1160,BO$1,FALSE)))</f>
        <v>0.3</v>
      </c>
      <c r="BP11" s="16">
        <f>IF($B11="-","-",IF(VLOOKUP(ROUND(CONCATENATE($A11,BP$2),0),'Cadastro - Padrões'!$A$2:$T$1160,BP$1,FALSE)="","-",VLOOKUP(ROUND(CONCATENATE($A11,BP$2),0),'Cadastro - Padrões'!$A$2:$T$1160,BP$1,FALSE)))</f>
        <v>2</v>
      </c>
      <c r="BQ11" s="16">
        <f>IF($B11="-","-",IF(VLOOKUP(ROUND(CONCATENATE($A11,BQ$2),0),'Cadastro - Padrões'!$A$2:$T$1160,BQ$1,FALSE)="","-",VLOOKUP(ROUND(CONCATENATE($A11,BQ$2),0),'Cadastro - Padrões'!$A$2:$T$1160,BQ$1,FALSE)))</f>
        <v>1000000</v>
      </c>
      <c r="BR11" s="16">
        <f>IF($B11="-","-",IF(VLOOKUP(ROUND(CONCATENATE($A11,BR$2),0),'Cadastro - Padrões'!$A$2:$T$1160,BR$1,FALSE)="","-",VLOOKUP(ROUND(CONCATENATE($A11,BR$2),0),'Cadastro - Padrões'!$A$2:$T$1160,BR$1,FALSE)))</f>
        <v>1099.9000000000001</v>
      </c>
      <c r="BS11" s="16">
        <f>IF($B11="-","-",IF(VLOOKUP(ROUND(CONCATENATE($A11,BS$2),0),'Cadastro - Padrões'!$A$2:$T$1160,BS$1,FALSE)="","-",VLOOKUP(ROUND(CONCATENATE($A11,BS$2),0),'Cadastro - Padrões'!$A$2:$T$1160,BS$1,FALSE)))</f>
        <v>0.3</v>
      </c>
      <c r="BT11" s="16">
        <f>IF($B11="-","-",IF(VLOOKUP(ROUND(CONCATENATE($A11,BT$2),0),'Cadastro - Padrões'!$A$2:$T$1160,BT$1,FALSE)="","-",VLOOKUP(ROUND(CONCATENATE($A11,BT$2),0),'Cadastro - Padrões'!$A$2:$T$1160,BT$1,FALSE)))</f>
        <v>2</v>
      </c>
      <c r="BU11" s="16">
        <f>IF($B11="-","-",IF(VLOOKUP(ROUND(CONCATENATE($A11,BU$2),0),'Cadastro - Padrões'!$A$2:$T$1160,BU$1,FALSE)="","-",VLOOKUP(ROUND(CONCATENATE($A11,BU$2),0),'Cadastro - Padrões'!$A$2:$T$1160,BU$1,FALSE)))</f>
        <v>1000000</v>
      </c>
      <c r="BV11" s="16" t="str">
        <f>IF($B11="-","-",IF(VLOOKUP(ROUND(CONCATENATE($A11,BV$2),0),'Cadastro - Padrões'!$A$2:$T$1160,BV$1,FALSE)="","-",VLOOKUP(ROUND(CONCATENATE($A11,BV$2),0),'Cadastro - Padrões'!$A$2:$T$1160,BV$1,FALSE)))</f>
        <v>-</v>
      </c>
      <c r="BW11" s="16" t="str">
        <f>IF($B11="-","-",IF(VLOOKUP(ROUND(CONCATENATE($A11,BW$2),0),'Cadastro - Padrões'!$A$2:$T$1160,BW$1,FALSE)="","-",VLOOKUP(ROUND(CONCATENATE($A11,BW$2),0),'Cadastro - Padrões'!$A$2:$T$1160,BW$1,FALSE)))</f>
        <v>-</v>
      </c>
      <c r="BX11" s="16" t="str">
        <f>IF($B11="-","-",IF(VLOOKUP(ROUND(CONCATENATE($A11,BX$2),0),'Cadastro - Padrões'!$A$2:$T$1160,BX$1,FALSE)="","-",VLOOKUP(ROUND(CONCATENATE($A11,BX$2),0),'Cadastro - Padrões'!$A$2:$T$1160,BX$1,FALSE)))</f>
        <v>-</v>
      </c>
      <c r="BY11" s="16" t="str">
        <f>IF($B11="-","-",IF(VLOOKUP(ROUND(CONCATENATE($A11,BY$2),0),'Cadastro - Padrões'!$A$2:$T$1160,BY$1,FALSE)="","-",VLOOKUP(ROUND(CONCATENATE($A11,BY$2),0),'Cadastro - Padrões'!$A$2:$T$1160,BY$1,FALSE)))</f>
        <v>-</v>
      </c>
      <c r="BZ11" s="16" t="str">
        <f>IF($B11="-","-",IF(VLOOKUP(ROUND(CONCATENATE($A11,BZ$2),0),'Cadastro - Padrões'!$A$2:$T$1160,BZ$1,FALSE)="","-",VLOOKUP(ROUND(CONCATENATE($A11,BZ$2),0),'Cadastro - Padrões'!$A$2:$T$1160,BZ$1,FALSE)))</f>
        <v>-</v>
      </c>
      <c r="CA11" s="16" t="str">
        <f>IF($B11="-","-",IF(VLOOKUP(ROUND(CONCATENATE($A11,CA$2),0),'Cadastro - Padrões'!$A$2:$T$1160,CA$1,FALSE)="","-",VLOOKUP(ROUND(CONCATENATE($A11,CA$2),0),'Cadastro - Padrões'!$A$2:$T$1160,CA$1,FALSE)))</f>
        <v>-</v>
      </c>
      <c r="CB11" s="16" t="str">
        <f>IF($B11="-","-",IF(VLOOKUP(ROUND(CONCATENATE($A11,CB$2),0),'Cadastro - Padrões'!$A$2:$T$1160,CB$1,FALSE)="","-",VLOOKUP(ROUND(CONCATENATE($A11,CB$2),0),'Cadastro - Padrões'!$A$2:$T$1160,CB$1,FALSE)))</f>
        <v>-</v>
      </c>
      <c r="CC11" s="16" t="str">
        <f>IF($B11="-","-",IF(VLOOKUP(ROUND(CONCATENATE($A11,CC$2),0),'Cadastro - Padrões'!$A$2:$T$1160,CC$1,FALSE)="","-",VLOOKUP(ROUND(CONCATENATE($A11,CC$2),0),'Cadastro - Padrões'!$A$2:$T$1160,CC$1,FALSE)))</f>
        <v>-</v>
      </c>
    </row>
    <row r="12" spans="1:81" x14ac:dyDescent="0.3">
      <c r="A12" s="15">
        <f t="shared" si="82"/>
        <v>7</v>
      </c>
      <c r="B12" s="16" t="str">
        <f>IF(VLOOKUP(ROUND(CONCATENATE($A12,B$2),0),'Cadastro - Padrões'!$A$2:$T$1160,B$1,FALSE)="","-",VLOOKUP(ROUND(CONCATENATE($A12,B$2),0),'Cadastro - Padrões'!$A$2:$T$1160,B$1,FALSE))</f>
        <v>E.PS.FS-003</v>
      </c>
      <c r="C12" s="16" t="str">
        <f>IF(VLOOKUP(ROUND(CONCATENATE($A12,C$2),0),'Cadastro - Padrões'!$A$2:$T$1160,C$1,FALSE)="","-",VLOOKUP(ROUND(CONCATENATE($A12,C$2),0),'Cadastro - Padrões'!$A$2:$T$1160,C$1,FALSE))</f>
        <v>Barômetro Digital</v>
      </c>
      <c r="D12" s="16" t="str">
        <f>IF($B12="-","-",VLOOKUP(ROUND(CONCATENATE($A12,D$2),0),'Cadastro - Padrões'!$A$2:$T$1160,D$1,FALSE))</f>
        <v>ELUS</v>
      </c>
      <c r="E12" s="16" t="str">
        <f>IF($B12="-","-",VLOOKUP(ROUND(CONCATENATE($A12,E$2),0),'Cadastro - Padrões'!$A$2:$T$1160,E$1,FALSE))</f>
        <v>RBC - CAL 0439</v>
      </c>
      <c r="F12" s="16" t="str">
        <f>IF($B12="-","-",VLOOKUP(ROUND(CONCATENATE($A12,F$2),0),'Cadastro - Padrões'!$A$2:$T$1160,F$1,FALSE))</f>
        <v>E0817/25</v>
      </c>
      <c r="G12" s="17">
        <f>IF($B12="-","-",VLOOKUP(ROUND(CONCATENATE($A12,G$2),0),'Cadastro - Padrões'!$A$2:$T$1160,G$1,FALSE))</f>
        <v>45979</v>
      </c>
      <c r="H12" s="18">
        <f>IF($B12="-","-",VLOOKUP(ROUND(CONCATENATE($A12,H$2),0),'Cadastro - Padrões'!$A$2:$T$1160,H$1,FALSE))</f>
        <v>46356</v>
      </c>
      <c r="I12" s="16" t="str">
        <f>IF($B12="-","-",VLOOKUP(ROUND(CONCATENATE($A12,I$2),0),'Cadastro - Padrões'!$A$2:$T$1160,I$1,FALSE))</f>
        <v>hPa</v>
      </c>
      <c r="J12" s="16">
        <f>IF($B12="-","-",VLOOKUP(ROUND(CONCATENATE($A12,J$2),0),'Cadastro - Padrões'!$A$2:$T$1160,J$1,FALSE))</f>
        <v>751</v>
      </c>
      <c r="K12" s="16">
        <f>IF($B12="-","-",VLOOKUP(ROUND(CONCATENATE($A12,K$2),0),'Cadastro - Padrões'!$A$2:$T$1160,K$1,FALSE))</f>
        <v>1090</v>
      </c>
      <c r="L12" s="16">
        <f>IF($B12="-","-",VLOOKUP(ROUND(CONCATENATE($A12,L$2),0),'Cadastro - Padrões'!$A$2:$T$1160,L$1,FALSE))</f>
        <v>1</v>
      </c>
      <c r="M12" s="19">
        <f>IF($B12="-","-",VLOOKUP(ROUND(CONCATENATE($A12,M$2),0),'Cadastro - Padrões'!$A$2:$T$1160,M$1,FALSE))</f>
        <v>1</v>
      </c>
      <c r="N12" s="16">
        <f>IF($B12="-","-",VLOOKUP(ROUND(CONCATENATE($A12,N$2),0),'Cadastro - Padrões'!$A$2:$T$1160,N$1,FALSE))</f>
        <v>1</v>
      </c>
      <c r="O12" s="19">
        <f>IF($B12="-","-",VLOOKUP(ROUND(CONCATENATE($A12,O$2),0),'Cadastro - Padrões'!$A$2:$T$1160,O$1,FALSE))</f>
        <v>1</v>
      </c>
      <c r="P12" s="16">
        <f>IF($B12="-","-",VLOOKUP(ROUND(CONCATENATE($A12,P$2),0),'Cadastro - Padrões'!$A$2:$T$1160,P$1,FALSE))</f>
        <v>0.51015593864270925</v>
      </c>
      <c r="Q12" s="16">
        <f>IF($B12="-","-",VLOOKUP(ROUND(CONCATENATE($A12,Q$2),0),'Cadastro - Padrões'!$A$2:$T$1160,Q$1,FALSE))</f>
        <v>3</v>
      </c>
      <c r="R12" s="16">
        <f>IF($B12="-","-",VLOOKUP(ROUND(CONCATENATE($A12,R$2),0),'Cadastro - Padrões'!$A$2:$T$1160,R$1,FALSE))</f>
        <v>-8.126174011416944E-8</v>
      </c>
      <c r="S12" s="16">
        <f>IF($B12="-","-",VLOOKUP(ROUND(CONCATENATE($A12,S$2),0),'Cadastro - Padrões'!$A$2:$T$1160,S$1,FALSE))</f>
        <v>2.299535861664254E-4</v>
      </c>
      <c r="T12" s="16">
        <f>IF($B12="-","-",VLOOKUP(ROUND(CONCATENATE($A12,T$2),0),'Cadastro - Padrões'!$A$2:$T$1160,T$1,FALSE))</f>
        <v>0.78300602246735751</v>
      </c>
      <c r="U12" s="16">
        <f>IF($B12="-","-",VLOOKUP(ROUND(CONCATENATE($A12,U$2),0),'Cadastro - Padrões'!$A$2:$T$1160,U$1,FALSE))</f>
        <v>68.454917371203081</v>
      </c>
      <c r="V12" s="16">
        <f>IF($B12="-","-",IF(VLOOKUP(ROUND(CONCATENATE($A12,V$2),0),'Cadastro - Padrões'!$A$2:$T$1160,V$1,FALSE)="","-",VLOOKUP(ROUND(CONCATENATE($A12,V$2),0),'Cadastro - Padrões'!$A$2:$T$1160,V$1,FALSE)))</f>
        <v>751</v>
      </c>
      <c r="W12" s="16">
        <f>IF($B12="-","-",IF(VLOOKUP(ROUND(CONCATENATE($A12,W$2),0),'Cadastro - Padrões'!$A$2:$T$1160,W$1,FALSE)="","-",VLOOKUP(ROUND(CONCATENATE($A12,W$2),0),'Cadastro - Padrões'!$A$2:$T$1160,W$1,FALSE)))</f>
        <v>1</v>
      </c>
      <c r="X12" s="16">
        <f>IF($B12="-","-",IF(VLOOKUP(ROUND(CONCATENATE($A12,X$2),0),'Cadastro - Padrões'!$A$2:$T$1160,X$1,FALSE)="","-",VLOOKUP(ROUND(CONCATENATE($A12,X$2),0),'Cadastro - Padrões'!$A$2:$T$1160,X$1,FALSE)))</f>
        <v>2</v>
      </c>
      <c r="Y12" s="16">
        <f>IF($B12="-","-",IF(VLOOKUP(ROUND(CONCATENATE($A12,Y$2),0),'Cadastro - Padrões'!$A$2:$T$1160,Y$1,FALSE)="","-",VLOOKUP(ROUND(CONCATENATE($A12,Y$2),0),'Cadastro - Padrões'!$A$2:$T$1160,Y$1,FALSE)))</f>
        <v>1000000</v>
      </c>
      <c r="Z12" s="16">
        <f>IF($B12="-","-",IF(VLOOKUP(ROUND(CONCATENATE($A12,Z$2),0),'Cadastro - Padrões'!$A$2:$T$1160,Z$1,FALSE)="","-",VLOOKUP(ROUND(CONCATENATE($A12,Z$2),0),'Cadastro - Padrões'!$A$2:$T$1160,Z$1,FALSE)))</f>
        <v>800</v>
      </c>
      <c r="AA12" s="16">
        <f>IF($B12="-","-",IF(VLOOKUP(ROUND(CONCATENATE($A12,AA$2),0),'Cadastro - Padrões'!$A$2:$T$1160,AA$1,FALSE)="","-",VLOOKUP(ROUND(CONCATENATE($A12,AA$2),0),'Cadastro - Padrões'!$A$2:$T$1160,AA$1,FALSE)))</f>
        <v>1</v>
      </c>
      <c r="AB12" s="16">
        <f>IF($B12="-","-",IF(VLOOKUP(ROUND(CONCATENATE($A12,AB$2),0),'Cadastro - Padrões'!$A$2:$T$1160,AB$1,FALSE)="","-",VLOOKUP(ROUND(CONCATENATE($A12,AB$2),0),'Cadastro - Padrões'!$A$2:$T$1160,AB$1,FALSE)))</f>
        <v>2</v>
      </c>
      <c r="AC12" s="16">
        <f>IF($B12="-","-",IF(VLOOKUP(ROUND(CONCATENATE($A12,AC$2),0),'Cadastro - Padrões'!$A$2:$T$1160,AC$1,FALSE)="","-",VLOOKUP(ROUND(CONCATENATE($A12,AC$2),0),'Cadastro - Padrões'!$A$2:$T$1160,AC$1,FALSE)))</f>
        <v>1000000</v>
      </c>
      <c r="AD12" s="16">
        <f>IF($B12="-","-",IF(VLOOKUP(ROUND(CONCATENATE($A12,AD$2),0),'Cadastro - Padrões'!$A$2:$T$1160,AD$1,FALSE)="","-",VLOOKUP(ROUND(CONCATENATE($A12,AD$2),0),'Cadastro - Padrões'!$A$2:$T$1160,AD$1,FALSE)))</f>
        <v>850</v>
      </c>
      <c r="AE12" s="16">
        <f>IF($B12="-","-",IF(VLOOKUP(ROUND(CONCATENATE($A12,AE$2),0),'Cadastro - Padrões'!$A$2:$T$1160,AE$1,FALSE)="","-",VLOOKUP(ROUND(CONCATENATE($A12,AE$2),0),'Cadastro - Padrões'!$A$2:$T$1160,AE$1,FALSE)))</f>
        <v>1</v>
      </c>
      <c r="AF12" s="16">
        <f>IF($B12="-","-",IF(VLOOKUP(ROUND(CONCATENATE($A12,AF$2),0),'Cadastro - Padrões'!$A$2:$T$1160,AF$1,FALSE)="","-",VLOOKUP(ROUND(CONCATENATE($A12,AF$2),0),'Cadastro - Padrões'!$A$2:$T$1160,AF$1,FALSE)))</f>
        <v>2</v>
      </c>
      <c r="AG12" s="16">
        <f>IF($B12="-","-",IF(VLOOKUP(ROUND(CONCATENATE($A12,AG$2),0),'Cadastro - Padrões'!$A$2:$T$1160,AG$1,FALSE)="","-",VLOOKUP(ROUND(CONCATENATE($A12,AG$2),0),'Cadastro - Padrões'!$A$2:$T$1160,AG$1,FALSE)))</f>
        <v>1000000</v>
      </c>
      <c r="AH12" s="16">
        <f>IF($B12="-","-",IF(VLOOKUP(ROUND(CONCATENATE($A12,AH$2),0),'Cadastro - Padrões'!$A$2:$T$1160,AH$1,FALSE)="","-",VLOOKUP(ROUND(CONCATENATE($A12,AH$2),0),'Cadastro - Padrões'!$A$2:$T$1160,AH$1,FALSE)))</f>
        <v>901</v>
      </c>
      <c r="AI12" s="16">
        <f>IF($B12="-","-",IF(VLOOKUP(ROUND(CONCATENATE($A12,AI$2),0),'Cadastro - Padrões'!$A$2:$T$1160,AI$1,FALSE)="","-",VLOOKUP(ROUND(CONCATENATE($A12,AI$2),0),'Cadastro - Padrões'!$A$2:$T$1160,AI$1,FALSE)))</f>
        <v>1</v>
      </c>
      <c r="AJ12" s="16">
        <f>IF($B12="-","-",IF(VLOOKUP(ROUND(CONCATENATE($A12,AJ$2),0),'Cadastro - Padrões'!$A$2:$T$1160,AJ$1,FALSE)="","-",VLOOKUP(ROUND(CONCATENATE($A12,AJ$2),0),'Cadastro - Padrões'!$A$2:$T$1160,AJ$1,FALSE)))</f>
        <v>2</v>
      </c>
      <c r="AK12" s="16">
        <f>IF($B12="-","-",IF(VLOOKUP(ROUND(CONCATENATE($A12,AK$2),0),'Cadastro - Padrões'!$A$2:$T$1160,AK$1,FALSE)="","-",VLOOKUP(ROUND(CONCATENATE($A12,AK$2),0),'Cadastro - Padrões'!$A$2:$T$1160,AK$1,FALSE)))</f>
        <v>1000000</v>
      </c>
      <c r="AL12" s="16">
        <f>IF($B12="-","-",IF(VLOOKUP(ROUND(CONCATENATE($A12,AL$2),0),'Cadastro - Padrões'!$A$2:$T$1160,AL$1,FALSE)="","-",VLOOKUP(ROUND(CONCATENATE($A12,AL$2),0),'Cadastro - Padrões'!$A$2:$T$1160,AL$1,FALSE)))</f>
        <v>950</v>
      </c>
      <c r="AM12" s="16">
        <f>IF($B12="-","-",IF(VLOOKUP(ROUND(CONCATENATE($A12,AM$2),0),'Cadastro - Padrões'!$A$2:$T$1160,AM$1,FALSE)="","-",VLOOKUP(ROUND(CONCATENATE($A12,AM$2),0),'Cadastro - Padrões'!$A$2:$T$1160,AM$1,FALSE)))</f>
        <v>1</v>
      </c>
      <c r="AN12" s="16">
        <f>IF($B12="-","-",IF(VLOOKUP(ROUND(CONCATENATE($A12,AN$2),0),'Cadastro - Padrões'!$A$2:$T$1160,AN$1,FALSE)="","-",VLOOKUP(ROUND(CONCATENATE($A12,AN$2),0),'Cadastro - Padrões'!$A$2:$T$1160,AN$1,FALSE)))</f>
        <v>2</v>
      </c>
      <c r="AO12" s="16">
        <f>IF($B12="-","-",IF(VLOOKUP(ROUND(CONCATENATE($A12,AO$2),0),'Cadastro - Padrões'!$A$2:$T$1160,AO$1,FALSE)="","-",VLOOKUP(ROUND(CONCATENATE($A12,AO$2),0),'Cadastro - Padrões'!$A$2:$T$1160,AO$1,FALSE)))</f>
        <v>1000000</v>
      </c>
      <c r="AP12" s="16">
        <f>IF($B12="-","-",IF(VLOOKUP(ROUND(CONCATENATE($A12,AP$2),0),'Cadastro - Padrões'!$A$2:$T$1160,AP$1,FALSE)="","-",VLOOKUP(ROUND(CONCATENATE($A12,AP$2),0),'Cadastro - Padrões'!$A$2:$T$1160,AP$1,FALSE)))</f>
        <v>1000</v>
      </c>
      <c r="AQ12" s="16">
        <f>IF($B12="-","-",IF(VLOOKUP(ROUND(CONCATENATE($A12,AQ$2),0),'Cadastro - Padrões'!$A$2:$T$1160,AQ$1,FALSE)="","-",VLOOKUP(ROUND(CONCATENATE($A12,AQ$2),0),'Cadastro - Padrões'!$A$2:$T$1160,AQ$1,FALSE)))</f>
        <v>1</v>
      </c>
      <c r="AR12" s="16">
        <f>IF($B12="-","-",IF(VLOOKUP(ROUND(CONCATENATE($A12,AR$2),0),'Cadastro - Padrões'!$A$2:$T$1160,AR$1,FALSE)="","-",VLOOKUP(ROUND(CONCATENATE($A12,AR$2),0),'Cadastro - Padrões'!$A$2:$T$1160,AR$1,FALSE)))</f>
        <v>2</v>
      </c>
      <c r="AS12" s="16">
        <f>IF($B12="-","-",IF(VLOOKUP(ROUND(CONCATENATE($A12,AS$2),0),'Cadastro - Padrões'!$A$2:$T$1160,AS$1,FALSE)="","-",VLOOKUP(ROUND(CONCATENATE($A12,AS$2),0),'Cadastro - Padrões'!$A$2:$T$1160,AS$1,FALSE)))</f>
        <v>1000000</v>
      </c>
      <c r="AT12" s="16">
        <f>IF($B12="-","-",IF(VLOOKUP(ROUND(CONCATENATE($A12,AT$2),0),'Cadastro - Padrões'!$A$2:$T$1160,AT$1,FALSE)="","-",VLOOKUP(ROUND(CONCATENATE($A12,AT$2),0),'Cadastro - Padrões'!$A$2:$T$1160,AT$1,FALSE)))</f>
        <v>1010</v>
      </c>
      <c r="AU12" s="16">
        <f>IF($B12="-","-",IF(VLOOKUP(ROUND(CONCATENATE($A12,AU$2),0),'Cadastro - Padrões'!$A$2:$T$1160,AU$1,FALSE)="","-",VLOOKUP(ROUND(CONCATENATE($A12,AU$2),0),'Cadastro - Padrões'!$A$2:$T$1160,AU$1,FALSE)))</f>
        <v>1</v>
      </c>
      <c r="AV12" s="16">
        <f>IF($B12="-","-",IF(VLOOKUP(ROUND(CONCATENATE($A12,AV$2),0),'Cadastro - Padrões'!$A$2:$T$1160,AV$1,FALSE)="","-",VLOOKUP(ROUND(CONCATENATE($A12,AV$2),0),'Cadastro - Padrões'!$A$2:$T$1160,AV$1,FALSE)))</f>
        <v>2</v>
      </c>
      <c r="AW12" s="16">
        <f>IF($B12="-","-",IF(VLOOKUP(ROUND(CONCATENATE($A12,AW$2),0),'Cadastro - Padrões'!$A$2:$T$1160,AW$1,FALSE)="","-",VLOOKUP(ROUND(CONCATENATE($A12,AW$2),0),'Cadastro - Padrões'!$A$2:$T$1160,AW$1,FALSE)))</f>
        <v>1000000</v>
      </c>
      <c r="AX12" s="16">
        <f>IF($B12="-","-",IF(VLOOKUP(ROUND(CONCATENATE($A12,AX$2),0),'Cadastro - Padrões'!$A$2:$T$1160,AX$1,FALSE)="","-",VLOOKUP(ROUND(CONCATENATE($A12,AX$2),0),'Cadastro - Padrões'!$A$2:$T$1160,AX$1,FALSE)))</f>
        <v>1090</v>
      </c>
      <c r="AY12" s="16">
        <f>IF($B12="-","-",IF(VLOOKUP(ROUND(CONCATENATE($A12,AY$2),0),'Cadastro - Padrões'!$A$2:$T$1160,AY$1,FALSE)="","-",VLOOKUP(ROUND(CONCATENATE($A12,AY$2),0),'Cadastro - Padrões'!$A$2:$T$1160,AY$1,FALSE)))</f>
        <v>1</v>
      </c>
      <c r="AZ12" s="16">
        <f>IF($B12="-","-",IF(VLOOKUP(ROUND(CONCATENATE($A12,AZ$2),0),'Cadastro - Padrões'!$A$2:$T$1160,AZ$1,FALSE)="","-",VLOOKUP(ROUND(CONCATENATE($A12,AZ$2),0),'Cadastro - Padrões'!$A$2:$T$1160,AZ$1,FALSE)))</f>
        <v>2</v>
      </c>
      <c r="BA12" s="16">
        <f>IF($B12="-","-",IF(VLOOKUP(ROUND(CONCATENATE($A12,BA$2),0),'Cadastro - Padrões'!$A$2:$T$1160,BA$1,FALSE)="","-",VLOOKUP(ROUND(CONCATENATE($A12,BA$2),0),'Cadastro - Padrões'!$A$2:$T$1160,BA$1,FALSE)))</f>
        <v>1000000</v>
      </c>
      <c r="BB12" s="16" t="str">
        <f>IF($B12="-","-",IF(VLOOKUP(ROUND(CONCATENATE($A12,BB$2),0),'Cadastro - Padrões'!$A$2:$T$1160,BB$1,FALSE)="","-",VLOOKUP(ROUND(CONCATENATE($A12,BB$2),0),'Cadastro - Padrões'!$A$2:$T$1160,BB$1,FALSE)))</f>
        <v>-</v>
      </c>
      <c r="BC12" s="16" t="str">
        <f>IF($B12="-","-",IF(VLOOKUP(ROUND(CONCATENATE($A12,BC$2),0),'Cadastro - Padrões'!$A$2:$T$1160,BC$1,FALSE)="","-",VLOOKUP(ROUND(CONCATENATE($A12,BC$2),0),'Cadastro - Padrões'!$A$2:$T$1160,BC$1,FALSE)))</f>
        <v>-</v>
      </c>
      <c r="BD12" s="16" t="str">
        <f>IF($B12="-","-",IF(VLOOKUP(ROUND(CONCATENATE($A12,BD$2),0),'Cadastro - Padrões'!$A$2:$T$1160,BD$1,FALSE)="","-",VLOOKUP(ROUND(CONCATENATE($A12,BD$2),0),'Cadastro - Padrões'!$A$2:$T$1160,BD$1,FALSE)))</f>
        <v>-</v>
      </c>
      <c r="BE12" s="16" t="str">
        <f>IF($B12="-","-",IF(VLOOKUP(ROUND(CONCATENATE($A12,BE$2),0),'Cadastro - Padrões'!$A$2:$T$1160,BE$1,FALSE)="","-",VLOOKUP(ROUND(CONCATENATE($A12,BE$2),0),'Cadastro - Padrões'!$A$2:$T$1160,BE$1,FALSE)))</f>
        <v>-</v>
      </c>
      <c r="BF12" s="16" t="str">
        <f>IF($B12="-","-",IF(VLOOKUP(ROUND(CONCATENATE($A12,BF$2),0),'Cadastro - Padrões'!$A$2:$T$1160,BF$1,FALSE)="","-",VLOOKUP(ROUND(CONCATENATE($A12,BF$2),0),'Cadastro - Padrões'!$A$2:$T$1160,BF$1,FALSE)))</f>
        <v>-</v>
      </c>
      <c r="BG12" s="16" t="str">
        <f>IF($B12="-","-",IF(VLOOKUP(ROUND(CONCATENATE($A12,BG$2),0),'Cadastro - Padrões'!$A$2:$T$1160,BG$1,FALSE)="","-",VLOOKUP(ROUND(CONCATENATE($A12,BG$2),0),'Cadastro - Padrões'!$A$2:$T$1160,BG$1,FALSE)))</f>
        <v>-</v>
      </c>
      <c r="BH12" s="16" t="str">
        <f>IF($B12="-","-",IF(VLOOKUP(ROUND(CONCATENATE($A12,BH$2),0),'Cadastro - Padrões'!$A$2:$T$1160,BH$1,FALSE)="","-",VLOOKUP(ROUND(CONCATENATE($A12,BH$2),0),'Cadastro - Padrões'!$A$2:$T$1160,BH$1,FALSE)))</f>
        <v>-</v>
      </c>
      <c r="BI12" s="16" t="str">
        <f>IF($B12="-","-",IF(VLOOKUP(ROUND(CONCATENATE($A12,BI$2),0),'Cadastro - Padrões'!$A$2:$T$1160,BI$1,FALSE)="","-",VLOOKUP(ROUND(CONCATENATE($A12,BI$2),0),'Cadastro - Padrões'!$A$2:$T$1160,BI$1,FALSE)))</f>
        <v>-</v>
      </c>
      <c r="BJ12" s="16" t="str">
        <f>IF($B12="-","-",IF(VLOOKUP(ROUND(CONCATENATE($A12,BJ$2),0),'Cadastro - Padrões'!$A$2:$T$1160,BJ$1,FALSE)="","-",VLOOKUP(ROUND(CONCATENATE($A12,BJ$2),0),'Cadastro - Padrões'!$A$2:$T$1160,BJ$1,FALSE)))</f>
        <v>-</v>
      </c>
      <c r="BK12" s="16" t="str">
        <f>IF($B12="-","-",IF(VLOOKUP(ROUND(CONCATENATE($A12,BK$2),0),'Cadastro - Padrões'!$A$2:$T$1160,BK$1,FALSE)="","-",VLOOKUP(ROUND(CONCATENATE($A12,BK$2),0),'Cadastro - Padrões'!$A$2:$T$1160,BK$1,FALSE)))</f>
        <v>-</v>
      </c>
      <c r="BL12" s="16" t="str">
        <f>IF($B12="-","-",IF(VLOOKUP(ROUND(CONCATENATE($A12,BL$2),0),'Cadastro - Padrões'!$A$2:$T$1160,BL$1,FALSE)="","-",VLOOKUP(ROUND(CONCATENATE($A12,BL$2),0),'Cadastro - Padrões'!$A$2:$T$1160,BL$1,FALSE)))</f>
        <v>-</v>
      </c>
      <c r="BM12" s="16" t="str">
        <f>IF($B12="-","-",IF(VLOOKUP(ROUND(CONCATENATE($A12,BM$2),0),'Cadastro - Padrões'!$A$2:$T$1160,BM$1,FALSE)="","-",VLOOKUP(ROUND(CONCATENATE($A12,BM$2),0),'Cadastro - Padrões'!$A$2:$T$1160,BM$1,FALSE)))</f>
        <v>-</v>
      </c>
      <c r="BN12" s="16" t="str">
        <f>IF($B12="-","-",IF(VLOOKUP(ROUND(CONCATENATE($A12,BN$2),0),'Cadastro - Padrões'!$A$2:$T$1160,BN$1,FALSE)="","-",VLOOKUP(ROUND(CONCATENATE($A12,BN$2),0),'Cadastro - Padrões'!$A$2:$T$1160,BN$1,FALSE)))</f>
        <v>-</v>
      </c>
      <c r="BO12" s="16" t="str">
        <f>IF($B12="-","-",IF(VLOOKUP(ROUND(CONCATENATE($A12,BO$2),0),'Cadastro - Padrões'!$A$2:$T$1160,BO$1,FALSE)="","-",VLOOKUP(ROUND(CONCATENATE($A12,BO$2),0),'Cadastro - Padrões'!$A$2:$T$1160,BO$1,FALSE)))</f>
        <v>-</v>
      </c>
      <c r="BP12" s="16" t="str">
        <f>IF($B12="-","-",IF(VLOOKUP(ROUND(CONCATENATE($A12,BP$2),0),'Cadastro - Padrões'!$A$2:$T$1160,BP$1,FALSE)="","-",VLOOKUP(ROUND(CONCATENATE($A12,BP$2),0),'Cadastro - Padrões'!$A$2:$T$1160,BP$1,FALSE)))</f>
        <v>-</v>
      </c>
      <c r="BQ12" s="16" t="str">
        <f>IF($B12="-","-",IF(VLOOKUP(ROUND(CONCATENATE($A12,BQ$2),0),'Cadastro - Padrões'!$A$2:$T$1160,BQ$1,FALSE)="","-",VLOOKUP(ROUND(CONCATENATE($A12,BQ$2),0),'Cadastro - Padrões'!$A$2:$T$1160,BQ$1,FALSE)))</f>
        <v>-</v>
      </c>
      <c r="BR12" s="16" t="str">
        <f>IF($B12="-","-",IF(VLOOKUP(ROUND(CONCATENATE($A12,BR$2),0),'Cadastro - Padrões'!$A$2:$T$1160,BR$1,FALSE)="","-",VLOOKUP(ROUND(CONCATENATE($A12,BR$2),0),'Cadastro - Padrões'!$A$2:$T$1160,BR$1,FALSE)))</f>
        <v>-</v>
      </c>
      <c r="BS12" s="16" t="str">
        <f>IF($B12="-","-",IF(VLOOKUP(ROUND(CONCATENATE($A12,BS$2),0),'Cadastro - Padrões'!$A$2:$T$1160,BS$1,FALSE)="","-",VLOOKUP(ROUND(CONCATENATE($A12,BS$2),0),'Cadastro - Padrões'!$A$2:$T$1160,BS$1,FALSE)))</f>
        <v>-</v>
      </c>
      <c r="BT12" s="16" t="str">
        <f>IF($B12="-","-",IF(VLOOKUP(ROUND(CONCATENATE($A12,BT$2),0),'Cadastro - Padrões'!$A$2:$T$1160,BT$1,FALSE)="","-",VLOOKUP(ROUND(CONCATENATE($A12,BT$2),0),'Cadastro - Padrões'!$A$2:$T$1160,BT$1,FALSE)))</f>
        <v>-</v>
      </c>
      <c r="BU12" s="16" t="str">
        <f>IF($B12="-","-",IF(VLOOKUP(ROUND(CONCATENATE($A12,BU$2),0),'Cadastro - Padrões'!$A$2:$T$1160,BU$1,FALSE)="","-",VLOOKUP(ROUND(CONCATENATE($A12,BU$2),0),'Cadastro - Padrões'!$A$2:$T$1160,BU$1,FALSE)))</f>
        <v>-</v>
      </c>
      <c r="BV12" s="16" t="str">
        <f>IF($B12="-","-",IF(VLOOKUP(ROUND(CONCATENATE($A12,BV$2),0),'Cadastro - Padrões'!$A$2:$T$1160,BV$1,FALSE)="","-",VLOOKUP(ROUND(CONCATENATE($A12,BV$2),0),'Cadastro - Padrões'!$A$2:$T$1160,BV$1,FALSE)))</f>
        <v>-</v>
      </c>
      <c r="BW12" s="16" t="str">
        <f>IF($B12="-","-",IF(VLOOKUP(ROUND(CONCATENATE($A12,BW$2),0),'Cadastro - Padrões'!$A$2:$T$1160,BW$1,FALSE)="","-",VLOOKUP(ROUND(CONCATENATE($A12,BW$2),0),'Cadastro - Padrões'!$A$2:$T$1160,BW$1,FALSE)))</f>
        <v>-</v>
      </c>
      <c r="BX12" s="16" t="str">
        <f>IF($B12="-","-",IF(VLOOKUP(ROUND(CONCATENATE($A12,BX$2),0),'Cadastro - Padrões'!$A$2:$T$1160,BX$1,FALSE)="","-",VLOOKUP(ROUND(CONCATENATE($A12,BX$2),0),'Cadastro - Padrões'!$A$2:$T$1160,BX$1,FALSE)))</f>
        <v>-</v>
      </c>
      <c r="BY12" s="16" t="str">
        <f>IF($B12="-","-",IF(VLOOKUP(ROUND(CONCATENATE($A12,BY$2),0),'Cadastro - Padrões'!$A$2:$T$1160,BY$1,FALSE)="","-",VLOOKUP(ROUND(CONCATENATE($A12,BY$2),0),'Cadastro - Padrões'!$A$2:$T$1160,BY$1,FALSE)))</f>
        <v>-</v>
      </c>
      <c r="BZ12" s="16" t="str">
        <f>IF($B12="-","-",IF(VLOOKUP(ROUND(CONCATENATE($A12,BZ$2),0),'Cadastro - Padrões'!$A$2:$T$1160,BZ$1,FALSE)="","-",VLOOKUP(ROUND(CONCATENATE($A12,BZ$2),0),'Cadastro - Padrões'!$A$2:$T$1160,BZ$1,FALSE)))</f>
        <v>-</v>
      </c>
      <c r="CA12" s="16" t="str">
        <f>IF($B12="-","-",IF(VLOOKUP(ROUND(CONCATENATE($A12,CA$2),0),'Cadastro - Padrões'!$A$2:$T$1160,CA$1,FALSE)="","-",VLOOKUP(ROUND(CONCATENATE($A12,CA$2),0),'Cadastro - Padrões'!$A$2:$T$1160,CA$1,FALSE)))</f>
        <v>-</v>
      </c>
      <c r="CB12" s="16" t="str">
        <f>IF($B12="-","-",IF(VLOOKUP(ROUND(CONCATENATE($A12,CB$2),0),'Cadastro - Padrões'!$A$2:$T$1160,CB$1,FALSE)="","-",VLOOKUP(ROUND(CONCATENATE($A12,CB$2),0),'Cadastro - Padrões'!$A$2:$T$1160,CB$1,FALSE)))</f>
        <v>-</v>
      </c>
      <c r="CC12" s="16" t="str">
        <f>IF($B12="-","-",IF(VLOOKUP(ROUND(CONCATENATE($A12,CC$2),0),'Cadastro - Padrões'!$A$2:$T$1160,CC$1,FALSE)="","-",VLOOKUP(ROUND(CONCATENATE($A12,CC$2),0),'Cadastro - Padrões'!$A$2:$T$1160,CC$1,FALSE)))</f>
        <v>-</v>
      </c>
    </row>
    <row r="13" spans="1:81" x14ac:dyDescent="0.3">
      <c r="A13" s="15">
        <f t="shared" si="82"/>
        <v>8</v>
      </c>
      <c r="B13" s="16" t="str">
        <f>IF(VLOOKUP(ROUND(CONCATENATE($A13,B$2),0),'Cadastro - Padrões'!$A$2:$T$1160,B$1,FALSE)="","-",VLOOKUP(ROUND(CONCATENATE($A13,B$2),0),'Cadastro - Padrões'!$A$2:$T$1160,B$1,FALSE))</f>
        <v>E.TH.LP-001</v>
      </c>
      <c r="C13" s="16" t="str">
        <f>IF(VLOOKUP(ROUND(CONCATENATE($A13,C$2),0),'Cadastro - Padrões'!$A$2:$T$1160,C$1,FALSE)="","-",VLOOKUP(ROUND(CONCATENATE($A13,C$2),0),'Cadastro - Padrões'!$A$2:$T$1160,C$1,FALSE))</f>
        <v>Barômetro Digital</v>
      </c>
      <c r="D13" s="16" t="str">
        <f>IF($B13="-","-",VLOOKUP(ROUND(CONCATENATE($A13,D$2),0),'Cadastro - Padrões'!$A$2:$T$1160,D$1,FALSE))</f>
        <v>Elus</v>
      </c>
      <c r="E13" s="16" t="str">
        <f>IF($B13="-","-",VLOOKUP(ROUND(CONCATENATE($A13,E$2),0),'Cadastro - Padrões'!$A$2:$T$1160,E$1,FALSE))</f>
        <v>RBC - CAL 0439</v>
      </c>
      <c r="F13" s="16" t="str">
        <f>IF($B13="-","-",VLOOKUP(ROUND(CONCATENATE($A13,F$2),0),'Cadastro - Padrões'!$A$2:$T$1160,F$1,FALSE))</f>
        <v>E0396B/25</v>
      </c>
      <c r="G13" s="17">
        <f>IF($B13="-","-",VLOOKUP(ROUND(CONCATENATE($A13,G$2),0),'Cadastro - Padrões'!$A$2:$T$1160,G$1,FALSE))</f>
        <v>45822</v>
      </c>
      <c r="H13" s="18">
        <f>IF($B13="-","-",VLOOKUP(ROUND(CONCATENATE($A13,H$2),0),'Cadastro - Padrões'!$A$2:$T$1160,H$1,FALSE))</f>
        <v>46203</v>
      </c>
      <c r="I13" s="16" t="str">
        <f>IF($B13="-","-",VLOOKUP(ROUND(CONCATENATE($A13,I$2),0),'Cadastro - Padrões'!$A$2:$T$1160,I$1,FALSE))</f>
        <v>hPa</v>
      </c>
      <c r="J13" s="16">
        <f>IF($B13="-","-",VLOOKUP(ROUND(CONCATENATE($A13,J$2),0),'Cadastro - Padrões'!$A$2:$T$1160,J$1,FALSE))</f>
        <v>910</v>
      </c>
      <c r="K13" s="16">
        <f>IF($B13="-","-",VLOOKUP(ROUND(CONCATENATE($A13,K$2),0),'Cadastro - Padrões'!$A$2:$T$1160,K$1,FALSE))</f>
        <v>950</v>
      </c>
      <c r="L13" s="16">
        <f>IF($B13="-","-",VLOOKUP(ROUND(CONCATENATE($A13,L$2),0),'Cadastro - Padrões'!$A$2:$T$1160,L$1,FALSE))</f>
        <v>0.1</v>
      </c>
      <c r="M13" s="19">
        <f>IF($B13="-","-",VLOOKUP(ROUND(CONCATENATE($A13,M$2),0),'Cadastro - Padrões'!$A$2:$T$1160,M$1,FALSE))</f>
        <v>0</v>
      </c>
      <c r="N13" s="16">
        <f>IF($B13="-","-",VLOOKUP(ROUND(CONCATENATE($A13,N$2),0),'Cadastro - Padrões'!$A$2:$T$1160,N$1,FALSE))</f>
        <v>0.2</v>
      </c>
      <c r="O13" s="19">
        <f>IF($B13="-","-",VLOOKUP(ROUND(CONCATENATE($A13,O$2),0),'Cadastro - Padrões'!$A$2:$T$1160,O$1,FALSE))</f>
        <v>0</v>
      </c>
      <c r="P13" s="16">
        <f ca="1">IF($B13="-","-",VLOOKUP(ROUND(CONCATENATE($A13,P$2),0),'Cadastro - Padrões'!$A$2:$T$1160,P$1,FALSE))</f>
        <v>0</v>
      </c>
      <c r="Q13" s="16">
        <f>IF($B13="-","-",VLOOKUP(ROUND(CONCATENATE($A13,Q$2),0),'Cadastro - Padrões'!$A$2:$T$1160,Q$1,FALSE))</f>
        <v>1</v>
      </c>
      <c r="R13" s="16">
        <f>IF($B13="-","-",VLOOKUP(ROUND(CONCATENATE($A13,R$2),0),'Cadastro - Padrões'!$A$2:$T$1160,R$1,FALSE))</f>
        <v>0</v>
      </c>
      <c r="S13" s="16">
        <f>IF($B13="-","-",VLOOKUP(ROUND(CONCATENATE($A13,S$2),0),'Cadastro - Padrões'!$A$2:$T$1160,S$1,FALSE))</f>
        <v>0</v>
      </c>
      <c r="T13" s="16">
        <f>IF($B13="-","-",VLOOKUP(ROUND(CONCATENATE($A13,T$2),0),'Cadastro - Padrões'!$A$2:$T$1160,T$1,FALSE))</f>
        <v>1.0000000000000002</v>
      </c>
      <c r="U13" s="16">
        <f>IF($B13="-","-",VLOOKUP(ROUND(CONCATENATE($A13,U$2),0),'Cadastro - Padrões'!$A$2:$T$1160,U$1,FALSE))</f>
        <v>-2.2737367544323206E-13</v>
      </c>
      <c r="V13" s="16">
        <f>IF($B13="-","-",IF(VLOOKUP(ROUND(CONCATENATE($A13,V$2),0),'Cadastro - Padrões'!$A$2:$T$1160,V$1,FALSE)="","-",VLOOKUP(ROUND(CONCATENATE($A13,V$2),0),'Cadastro - Padrões'!$A$2:$T$1160,V$1,FALSE)))</f>
        <v>910</v>
      </c>
      <c r="W13" s="16">
        <f>IF($B13="-","-",IF(VLOOKUP(ROUND(CONCATENATE($A13,W$2),0),'Cadastro - Padrões'!$A$2:$T$1160,W$1,FALSE)="","-",VLOOKUP(ROUND(CONCATENATE($A13,W$2),0),'Cadastro - Padrões'!$A$2:$T$1160,W$1,FALSE)))</f>
        <v>0.2</v>
      </c>
      <c r="X13" s="16">
        <f>IF($B13="-","-",IF(VLOOKUP(ROUND(CONCATENATE($A13,X$2),0),'Cadastro - Padrões'!$A$2:$T$1160,X$1,FALSE)="","-",VLOOKUP(ROUND(CONCATENATE($A13,X$2),0),'Cadastro - Padrões'!$A$2:$T$1160,X$1,FALSE)))</f>
        <v>2</v>
      </c>
      <c r="Y13" s="16">
        <f>IF($B13="-","-",IF(VLOOKUP(ROUND(CONCATENATE($A13,Y$2),0),'Cadastro - Padrões'!$A$2:$T$1160,Y$1,FALSE)="","-",VLOOKUP(ROUND(CONCATENATE($A13,Y$2),0),'Cadastro - Padrões'!$A$2:$T$1160,Y$1,FALSE)))</f>
        <v>1000000</v>
      </c>
      <c r="Z13" s="16">
        <f>IF($B13="-","-",IF(VLOOKUP(ROUND(CONCATENATE($A13,Z$2),0),'Cadastro - Padrões'!$A$2:$T$1160,Z$1,FALSE)="","-",VLOOKUP(ROUND(CONCATENATE($A13,Z$2),0),'Cadastro - Padrões'!$A$2:$T$1160,Z$1,FALSE)))</f>
        <v>930</v>
      </c>
      <c r="AA13" s="16">
        <f>IF($B13="-","-",IF(VLOOKUP(ROUND(CONCATENATE($A13,AA$2),0),'Cadastro - Padrões'!$A$2:$T$1160,AA$1,FALSE)="","-",VLOOKUP(ROUND(CONCATENATE($A13,AA$2),0),'Cadastro - Padrões'!$A$2:$T$1160,AA$1,FALSE)))</f>
        <v>0.2</v>
      </c>
      <c r="AB13" s="16">
        <f>IF($B13="-","-",IF(VLOOKUP(ROUND(CONCATENATE($A13,AB$2),0),'Cadastro - Padrões'!$A$2:$T$1160,AB$1,FALSE)="","-",VLOOKUP(ROUND(CONCATENATE($A13,AB$2),0),'Cadastro - Padrões'!$A$2:$T$1160,AB$1,FALSE)))</f>
        <v>2</v>
      </c>
      <c r="AC13" s="16">
        <f>IF($B13="-","-",IF(VLOOKUP(ROUND(CONCATENATE($A13,AC$2),0),'Cadastro - Padrões'!$A$2:$T$1160,AC$1,FALSE)="","-",VLOOKUP(ROUND(CONCATENATE($A13,AC$2),0),'Cadastro - Padrões'!$A$2:$T$1160,AC$1,FALSE)))</f>
        <v>1000000</v>
      </c>
      <c r="AD13" s="16">
        <f>IF($B13="-","-",IF(VLOOKUP(ROUND(CONCATENATE($A13,AD$2),0),'Cadastro - Padrões'!$A$2:$T$1160,AD$1,FALSE)="","-",VLOOKUP(ROUND(CONCATENATE($A13,AD$2),0),'Cadastro - Padrões'!$A$2:$T$1160,AD$1,FALSE)))</f>
        <v>950</v>
      </c>
      <c r="AE13" s="16">
        <f>IF($B13="-","-",IF(VLOOKUP(ROUND(CONCATENATE($A13,AE$2),0),'Cadastro - Padrões'!$A$2:$T$1160,AE$1,FALSE)="","-",VLOOKUP(ROUND(CONCATENATE($A13,AE$2),0),'Cadastro - Padrões'!$A$2:$T$1160,AE$1,FALSE)))</f>
        <v>0.2</v>
      </c>
      <c r="AF13" s="16">
        <f>IF($B13="-","-",IF(VLOOKUP(ROUND(CONCATENATE($A13,AF$2),0),'Cadastro - Padrões'!$A$2:$T$1160,AF$1,FALSE)="","-",VLOOKUP(ROUND(CONCATENATE($A13,AF$2),0),'Cadastro - Padrões'!$A$2:$T$1160,AF$1,FALSE)))</f>
        <v>2</v>
      </c>
      <c r="AG13" s="16">
        <f>IF($B13="-","-",IF(VLOOKUP(ROUND(CONCATENATE($A13,AG$2),0),'Cadastro - Padrões'!$A$2:$T$1160,AG$1,FALSE)="","-",VLOOKUP(ROUND(CONCATENATE($A13,AG$2),0),'Cadastro - Padrões'!$A$2:$T$1160,AG$1,FALSE)))</f>
        <v>1000000</v>
      </c>
      <c r="AH13" s="16" t="str">
        <f>IF($B13="-","-",IF(VLOOKUP(ROUND(CONCATENATE($A13,AH$2),0),'Cadastro - Padrões'!$A$2:$T$1160,AH$1,FALSE)="","-",VLOOKUP(ROUND(CONCATENATE($A13,AH$2),0),'Cadastro - Padrões'!$A$2:$T$1160,AH$1,FALSE)))</f>
        <v>-</v>
      </c>
      <c r="AI13" s="16" t="str">
        <f>IF($B13="-","-",IF(VLOOKUP(ROUND(CONCATENATE($A13,AI$2),0),'Cadastro - Padrões'!$A$2:$T$1160,AI$1,FALSE)="","-",VLOOKUP(ROUND(CONCATENATE($A13,AI$2),0),'Cadastro - Padrões'!$A$2:$T$1160,AI$1,FALSE)))</f>
        <v>-</v>
      </c>
      <c r="AJ13" s="16" t="str">
        <f>IF($B13="-","-",IF(VLOOKUP(ROUND(CONCATENATE($A13,AJ$2),0),'Cadastro - Padrões'!$A$2:$T$1160,AJ$1,FALSE)="","-",VLOOKUP(ROUND(CONCATENATE($A13,AJ$2),0),'Cadastro - Padrões'!$A$2:$T$1160,AJ$1,FALSE)))</f>
        <v>-</v>
      </c>
      <c r="AK13" s="16" t="str">
        <f>IF($B13="-","-",IF(VLOOKUP(ROUND(CONCATENATE($A13,AK$2),0),'Cadastro - Padrões'!$A$2:$T$1160,AK$1,FALSE)="","-",VLOOKUP(ROUND(CONCATENATE($A13,AK$2),0),'Cadastro - Padrões'!$A$2:$T$1160,AK$1,FALSE)))</f>
        <v>-</v>
      </c>
      <c r="AL13" s="16" t="str">
        <f>IF($B13="-","-",IF(VLOOKUP(ROUND(CONCATENATE($A13,AL$2),0),'Cadastro - Padrões'!$A$2:$T$1160,AL$1,FALSE)="","-",VLOOKUP(ROUND(CONCATENATE($A13,AL$2),0),'Cadastro - Padrões'!$A$2:$T$1160,AL$1,FALSE)))</f>
        <v>-</v>
      </c>
      <c r="AM13" s="16" t="str">
        <f>IF($B13="-","-",IF(VLOOKUP(ROUND(CONCATENATE($A13,AM$2),0),'Cadastro - Padrões'!$A$2:$T$1160,AM$1,FALSE)="","-",VLOOKUP(ROUND(CONCATENATE($A13,AM$2),0),'Cadastro - Padrões'!$A$2:$T$1160,AM$1,FALSE)))</f>
        <v>-</v>
      </c>
      <c r="AN13" s="16" t="str">
        <f>IF($B13="-","-",IF(VLOOKUP(ROUND(CONCATENATE($A13,AN$2),0),'Cadastro - Padrões'!$A$2:$T$1160,AN$1,FALSE)="","-",VLOOKUP(ROUND(CONCATENATE($A13,AN$2),0),'Cadastro - Padrões'!$A$2:$T$1160,AN$1,FALSE)))</f>
        <v>-</v>
      </c>
      <c r="AO13" s="16" t="str">
        <f>IF($B13="-","-",IF(VLOOKUP(ROUND(CONCATENATE($A13,AO$2),0),'Cadastro - Padrões'!$A$2:$T$1160,AO$1,FALSE)="","-",VLOOKUP(ROUND(CONCATENATE($A13,AO$2),0),'Cadastro - Padrões'!$A$2:$T$1160,AO$1,FALSE)))</f>
        <v>-</v>
      </c>
      <c r="AP13" s="16" t="str">
        <f>IF($B13="-","-",IF(VLOOKUP(ROUND(CONCATENATE($A13,AP$2),0),'Cadastro - Padrões'!$A$2:$T$1160,AP$1,FALSE)="","-",VLOOKUP(ROUND(CONCATENATE($A13,AP$2),0),'Cadastro - Padrões'!$A$2:$T$1160,AP$1,FALSE)))</f>
        <v>-</v>
      </c>
      <c r="AQ13" s="16" t="str">
        <f>IF($B13="-","-",IF(VLOOKUP(ROUND(CONCATENATE($A13,AQ$2),0),'Cadastro - Padrões'!$A$2:$T$1160,AQ$1,FALSE)="","-",VLOOKUP(ROUND(CONCATENATE($A13,AQ$2),0),'Cadastro - Padrões'!$A$2:$T$1160,AQ$1,FALSE)))</f>
        <v>-</v>
      </c>
      <c r="AR13" s="16" t="str">
        <f>IF($B13="-","-",IF(VLOOKUP(ROUND(CONCATENATE($A13,AR$2),0),'Cadastro - Padrões'!$A$2:$T$1160,AR$1,FALSE)="","-",VLOOKUP(ROUND(CONCATENATE($A13,AR$2),0),'Cadastro - Padrões'!$A$2:$T$1160,AR$1,FALSE)))</f>
        <v>-</v>
      </c>
      <c r="AS13" s="16" t="str">
        <f>IF($B13="-","-",IF(VLOOKUP(ROUND(CONCATENATE($A13,AS$2),0),'Cadastro - Padrões'!$A$2:$T$1160,AS$1,FALSE)="","-",VLOOKUP(ROUND(CONCATENATE($A13,AS$2),0),'Cadastro - Padrões'!$A$2:$T$1160,AS$1,FALSE)))</f>
        <v>-</v>
      </c>
      <c r="AT13" s="16" t="str">
        <f>IF($B13="-","-",IF(VLOOKUP(ROUND(CONCATENATE($A13,AT$2),0),'Cadastro - Padrões'!$A$2:$T$1160,AT$1,FALSE)="","-",VLOOKUP(ROUND(CONCATENATE($A13,AT$2),0),'Cadastro - Padrões'!$A$2:$T$1160,AT$1,FALSE)))</f>
        <v>-</v>
      </c>
      <c r="AU13" s="16" t="str">
        <f>IF($B13="-","-",IF(VLOOKUP(ROUND(CONCATENATE($A13,AU$2),0),'Cadastro - Padrões'!$A$2:$T$1160,AU$1,FALSE)="","-",VLOOKUP(ROUND(CONCATENATE($A13,AU$2),0),'Cadastro - Padrões'!$A$2:$T$1160,AU$1,FALSE)))</f>
        <v>-</v>
      </c>
      <c r="AV13" s="16" t="str">
        <f>IF($B13="-","-",IF(VLOOKUP(ROUND(CONCATENATE($A13,AV$2),0),'Cadastro - Padrões'!$A$2:$T$1160,AV$1,FALSE)="","-",VLOOKUP(ROUND(CONCATENATE($A13,AV$2),0),'Cadastro - Padrões'!$A$2:$T$1160,AV$1,FALSE)))</f>
        <v>-</v>
      </c>
      <c r="AW13" s="16" t="str">
        <f>IF($B13="-","-",IF(VLOOKUP(ROUND(CONCATENATE($A13,AW$2),0),'Cadastro - Padrões'!$A$2:$T$1160,AW$1,FALSE)="","-",VLOOKUP(ROUND(CONCATENATE($A13,AW$2),0),'Cadastro - Padrões'!$A$2:$T$1160,AW$1,FALSE)))</f>
        <v>-</v>
      </c>
      <c r="AX13" s="16" t="str">
        <f>IF($B13="-","-",IF(VLOOKUP(ROUND(CONCATENATE($A13,AX$2),0),'Cadastro - Padrões'!$A$2:$T$1160,AX$1,FALSE)="","-",VLOOKUP(ROUND(CONCATENATE($A13,AX$2),0),'Cadastro - Padrões'!$A$2:$T$1160,AX$1,FALSE)))</f>
        <v>-</v>
      </c>
      <c r="AY13" s="16" t="str">
        <f>IF($B13="-","-",IF(VLOOKUP(ROUND(CONCATENATE($A13,AY$2),0),'Cadastro - Padrões'!$A$2:$T$1160,AY$1,FALSE)="","-",VLOOKUP(ROUND(CONCATENATE($A13,AY$2),0),'Cadastro - Padrões'!$A$2:$T$1160,AY$1,FALSE)))</f>
        <v>-</v>
      </c>
      <c r="AZ13" s="16" t="str">
        <f>IF($B13="-","-",IF(VLOOKUP(ROUND(CONCATENATE($A13,AZ$2),0),'Cadastro - Padrões'!$A$2:$T$1160,AZ$1,FALSE)="","-",VLOOKUP(ROUND(CONCATENATE($A13,AZ$2),0),'Cadastro - Padrões'!$A$2:$T$1160,AZ$1,FALSE)))</f>
        <v>-</v>
      </c>
      <c r="BA13" s="16" t="str">
        <f>IF($B13="-","-",IF(VLOOKUP(ROUND(CONCATENATE($A13,BA$2),0),'Cadastro - Padrões'!$A$2:$T$1160,BA$1,FALSE)="","-",VLOOKUP(ROUND(CONCATENATE($A13,BA$2),0),'Cadastro - Padrões'!$A$2:$T$1160,BA$1,FALSE)))</f>
        <v>-</v>
      </c>
      <c r="BB13" s="16" t="str">
        <f>IF($B13="-","-",IF(VLOOKUP(ROUND(CONCATENATE($A13,BB$2),0),'Cadastro - Padrões'!$A$2:$T$1160,BB$1,FALSE)="","-",VLOOKUP(ROUND(CONCATENATE($A13,BB$2),0),'Cadastro - Padrões'!$A$2:$T$1160,BB$1,FALSE)))</f>
        <v>-</v>
      </c>
      <c r="BC13" s="16" t="str">
        <f>IF($B13="-","-",IF(VLOOKUP(ROUND(CONCATENATE($A13,BC$2),0),'Cadastro - Padrões'!$A$2:$T$1160,BC$1,FALSE)="","-",VLOOKUP(ROUND(CONCATENATE($A13,BC$2),0),'Cadastro - Padrões'!$A$2:$T$1160,BC$1,FALSE)))</f>
        <v>-</v>
      </c>
      <c r="BD13" s="16" t="str">
        <f>IF($B13="-","-",IF(VLOOKUP(ROUND(CONCATENATE($A13,BD$2),0),'Cadastro - Padrões'!$A$2:$T$1160,BD$1,FALSE)="","-",VLOOKUP(ROUND(CONCATENATE($A13,BD$2),0),'Cadastro - Padrões'!$A$2:$T$1160,BD$1,FALSE)))</f>
        <v>-</v>
      </c>
      <c r="BE13" s="16" t="str">
        <f>IF($B13="-","-",IF(VLOOKUP(ROUND(CONCATENATE($A13,BE$2),0),'Cadastro - Padrões'!$A$2:$T$1160,BE$1,FALSE)="","-",VLOOKUP(ROUND(CONCATENATE($A13,BE$2),0),'Cadastro - Padrões'!$A$2:$T$1160,BE$1,FALSE)))</f>
        <v>-</v>
      </c>
      <c r="BF13" s="16" t="str">
        <f>IF($B13="-","-",IF(VLOOKUP(ROUND(CONCATENATE($A13,BF$2),0),'Cadastro - Padrões'!$A$2:$T$1160,BF$1,FALSE)="","-",VLOOKUP(ROUND(CONCATENATE($A13,BF$2),0),'Cadastro - Padrões'!$A$2:$T$1160,BF$1,FALSE)))</f>
        <v>-</v>
      </c>
      <c r="BG13" s="16" t="str">
        <f>IF($B13="-","-",IF(VLOOKUP(ROUND(CONCATENATE($A13,BG$2),0),'Cadastro - Padrões'!$A$2:$T$1160,BG$1,FALSE)="","-",VLOOKUP(ROUND(CONCATENATE($A13,BG$2),0),'Cadastro - Padrões'!$A$2:$T$1160,BG$1,FALSE)))</f>
        <v>-</v>
      </c>
      <c r="BH13" s="16" t="str">
        <f>IF($B13="-","-",IF(VLOOKUP(ROUND(CONCATENATE($A13,BH$2),0),'Cadastro - Padrões'!$A$2:$T$1160,BH$1,FALSE)="","-",VLOOKUP(ROUND(CONCATENATE($A13,BH$2),0),'Cadastro - Padrões'!$A$2:$T$1160,BH$1,FALSE)))</f>
        <v>-</v>
      </c>
      <c r="BI13" s="16" t="str">
        <f>IF($B13="-","-",IF(VLOOKUP(ROUND(CONCATENATE($A13,BI$2),0),'Cadastro - Padrões'!$A$2:$T$1160,BI$1,FALSE)="","-",VLOOKUP(ROUND(CONCATENATE($A13,BI$2),0),'Cadastro - Padrões'!$A$2:$T$1160,BI$1,FALSE)))</f>
        <v>-</v>
      </c>
      <c r="BJ13" s="16" t="str">
        <f>IF($B13="-","-",IF(VLOOKUP(ROUND(CONCATENATE($A13,BJ$2),0),'Cadastro - Padrões'!$A$2:$T$1160,BJ$1,FALSE)="","-",VLOOKUP(ROUND(CONCATENATE($A13,BJ$2),0),'Cadastro - Padrões'!$A$2:$T$1160,BJ$1,FALSE)))</f>
        <v>-</v>
      </c>
      <c r="BK13" s="16" t="str">
        <f>IF($B13="-","-",IF(VLOOKUP(ROUND(CONCATENATE($A13,BK$2),0),'Cadastro - Padrões'!$A$2:$T$1160,BK$1,FALSE)="","-",VLOOKUP(ROUND(CONCATENATE($A13,BK$2),0),'Cadastro - Padrões'!$A$2:$T$1160,BK$1,FALSE)))</f>
        <v>-</v>
      </c>
      <c r="BL13" s="16" t="str">
        <f>IF($B13="-","-",IF(VLOOKUP(ROUND(CONCATENATE($A13,BL$2),0),'Cadastro - Padrões'!$A$2:$T$1160,BL$1,FALSE)="","-",VLOOKUP(ROUND(CONCATENATE($A13,BL$2),0),'Cadastro - Padrões'!$A$2:$T$1160,BL$1,FALSE)))</f>
        <v>-</v>
      </c>
      <c r="BM13" s="16" t="str">
        <f>IF($B13="-","-",IF(VLOOKUP(ROUND(CONCATENATE($A13,BM$2),0),'Cadastro - Padrões'!$A$2:$T$1160,BM$1,FALSE)="","-",VLOOKUP(ROUND(CONCATENATE($A13,BM$2),0),'Cadastro - Padrões'!$A$2:$T$1160,BM$1,FALSE)))</f>
        <v>-</v>
      </c>
      <c r="BN13" s="16" t="str">
        <f>IF($B13="-","-",IF(VLOOKUP(ROUND(CONCATENATE($A13,BN$2),0),'Cadastro - Padrões'!$A$2:$T$1160,BN$1,FALSE)="","-",VLOOKUP(ROUND(CONCATENATE($A13,BN$2),0),'Cadastro - Padrões'!$A$2:$T$1160,BN$1,FALSE)))</f>
        <v>-</v>
      </c>
      <c r="BO13" s="16" t="str">
        <f>IF($B13="-","-",IF(VLOOKUP(ROUND(CONCATENATE($A13,BO$2),0),'Cadastro - Padrões'!$A$2:$T$1160,BO$1,FALSE)="","-",VLOOKUP(ROUND(CONCATENATE($A13,BO$2),0),'Cadastro - Padrões'!$A$2:$T$1160,BO$1,FALSE)))</f>
        <v>-</v>
      </c>
      <c r="BP13" s="16" t="str">
        <f>IF($B13="-","-",IF(VLOOKUP(ROUND(CONCATENATE($A13,BP$2),0),'Cadastro - Padrões'!$A$2:$T$1160,BP$1,FALSE)="","-",VLOOKUP(ROUND(CONCATENATE($A13,BP$2),0),'Cadastro - Padrões'!$A$2:$T$1160,BP$1,FALSE)))</f>
        <v>-</v>
      </c>
      <c r="BQ13" s="16" t="str">
        <f>IF($B13="-","-",IF(VLOOKUP(ROUND(CONCATENATE($A13,BQ$2),0),'Cadastro - Padrões'!$A$2:$T$1160,BQ$1,FALSE)="","-",VLOOKUP(ROUND(CONCATENATE($A13,BQ$2),0),'Cadastro - Padrões'!$A$2:$T$1160,BQ$1,FALSE)))</f>
        <v>-</v>
      </c>
      <c r="BR13" s="16" t="str">
        <f>IF($B13="-","-",IF(VLOOKUP(ROUND(CONCATENATE($A13,BR$2),0),'Cadastro - Padrões'!$A$2:$T$1160,BR$1,FALSE)="","-",VLOOKUP(ROUND(CONCATENATE($A13,BR$2),0),'Cadastro - Padrões'!$A$2:$T$1160,BR$1,FALSE)))</f>
        <v>-</v>
      </c>
      <c r="BS13" s="16" t="str">
        <f>IF($B13="-","-",IF(VLOOKUP(ROUND(CONCATENATE($A13,BS$2),0),'Cadastro - Padrões'!$A$2:$T$1160,BS$1,FALSE)="","-",VLOOKUP(ROUND(CONCATENATE($A13,BS$2),0),'Cadastro - Padrões'!$A$2:$T$1160,BS$1,FALSE)))</f>
        <v>-</v>
      </c>
      <c r="BT13" s="16" t="str">
        <f>IF($B13="-","-",IF(VLOOKUP(ROUND(CONCATENATE($A13,BT$2),0),'Cadastro - Padrões'!$A$2:$T$1160,BT$1,FALSE)="","-",VLOOKUP(ROUND(CONCATENATE($A13,BT$2),0),'Cadastro - Padrões'!$A$2:$T$1160,BT$1,FALSE)))</f>
        <v>-</v>
      </c>
      <c r="BU13" s="16" t="str">
        <f>IF($B13="-","-",IF(VLOOKUP(ROUND(CONCATENATE($A13,BU$2),0),'Cadastro - Padrões'!$A$2:$T$1160,BU$1,FALSE)="","-",VLOOKUP(ROUND(CONCATENATE($A13,BU$2),0),'Cadastro - Padrões'!$A$2:$T$1160,BU$1,FALSE)))</f>
        <v>-</v>
      </c>
      <c r="BV13" s="16" t="str">
        <f>IF($B13="-","-",IF(VLOOKUP(ROUND(CONCATENATE($A13,BV$2),0),'Cadastro - Padrões'!$A$2:$T$1160,BV$1,FALSE)="","-",VLOOKUP(ROUND(CONCATENATE($A13,BV$2),0),'Cadastro - Padrões'!$A$2:$T$1160,BV$1,FALSE)))</f>
        <v>-</v>
      </c>
      <c r="BW13" s="16" t="str">
        <f>IF($B13="-","-",IF(VLOOKUP(ROUND(CONCATENATE($A13,BW$2),0),'Cadastro - Padrões'!$A$2:$T$1160,BW$1,FALSE)="","-",VLOOKUP(ROUND(CONCATENATE($A13,BW$2),0),'Cadastro - Padrões'!$A$2:$T$1160,BW$1,FALSE)))</f>
        <v>-</v>
      </c>
      <c r="BX13" s="16" t="str">
        <f>IF($B13="-","-",IF(VLOOKUP(ROUND(CONCATENATE($A13,BX$2),0),'Cadastro - Padrões'!$A$2:$T$1160,BX$1,FALSE)="","-",VLOOKUP(ROUND(CONCATENATE($A13,BX$2),0),'Cadastro - Padrões'!$A$2:$T$1160,BX$1,FALSE)))</f>
        <v>-</v>
      </c>
      <c r="BY13" s="16" t="str">
        <f>IF($B13="-","-",IF(VLOOKUP(ROUND(CONCATENATE($A13,BY$2),0),'Cadastro - Padrões'!$A$2:$T$1160,BY$1,FALSE)="","-",VLOOKUP(ROUND(CONCATENATE($A13,BY$2),0),'Cadastro - Padrões'!$A$2:$T$1160,BY$1,FALSE)))</f>
        <v>-</v>
      </c>
      <c r="BZ13" s="16" t="str">
        <f>IF($B13="-","-",IF(VLOOKUP(ROUND(CONCATENATE($A13,BZ$2),0),'Cadastro - Padrões'!$A$2:$T$1160,BZ$1,FALSE)="","-",VLOOKUP(ROUND(CONCATENATE($A13,BZ$2),0),'Cadastro - Padrões'!$A$2:$T$1160,BZ$1,FALSE)))</f>
        <v>-</v>
      </c>
      <c r="CA13" s="16" t="str">
        <f>IF($B13="-","-",IF(VLOOKUP(ROUND(CONCATENATE($A13,CA$2),0),'Cadastro - Padrões'!$A$2:$T$1160,CA$1,FALSE)="","-",VLOOKUP(ROUND(CONCATENATE($A13,CA$2),0),'Cadastro - Padrões'!$A$2:$T$1160,CA$1,FALSE)))</f>
        <v>-</v>
      </c>
      <c r="CB13" s="16" t="str">
        <f>IF($B13="-","-",IF(VLOOKUP(ROUND(CONCATENATE($A13,CB$2),0),'Cadastro - Padrões'!$A$2:$T$1160,CB$1,FALSE)="","-",VLOOKUP(ROUND(CONCATENATE($A13,CB$2),0),'Cadastro - Padrões'!$A$2:$T$1160,CB$1,FALSE)))</f>
        <v>-</v>
      </c>
      <c r="CC13" s="16" t="str">
        <f>IF($B13="-","-",IF(VLOOKUP(ROUND(CONCATENATE($A13,CC$2),0),'Cadastro - Padrões'!$A$2:$T$1160,CC$1,FALSE)="","-",VLOOKUP(ROUND(CONCATENATE($A13,CC$2),0),'Cadastro - Padrões'!$A$2:$T$1160,CC$1,FALSE)))</f>
        <v>-</v>
      </c>
    </row>
    <row r="14" spans="1:81" x14ac:dyDescent="0.3">
      <c r="A14" s="15">
        <f t="shared" si="82"/>
        <v>9</v>
      </c>
      <c r="B14" s="16" t="str">
        <f>IF(VLOOKUP(ROUND(CONCATENATE($A14,B$2),0),'Cadastro - Padrões'!$A$2:$T$1160,B$1,FALSE)="","-",VLOOKUP(ROUND(CONCATENATE($A14,B$2),0),'Cadastro - Padrões'!$A$2:$T$1160,B$1,FALSE))</f>
        <v>E.TH.LQ-001</v>
      </c>
      <c r="C14" s="16" t="str">
        <f>IF(VLOOKUP(ROUND(CONCATENATE($A14,C$2),0),'Cadastro - Padrões'!$A$2:$T$1160,C$1,FALSE)="","-",VLOOKUP(ROUND(CONCATENATE($A14,C$2),0),'Cadastro - Padrões'!$A$2:$T$1160,C$1,FALSE))</f>
        <v>Barômetro Digital</v>
      </c>
      <c r="D14" s="16" t="str">
        <f>IF($B14="-","-",VLOOKUP(ROUND(CONCATENATE($A14,D$2),0),'Cadastro - Padrões'!$A$2:$T$1160,D$1,FALSE))</f>
        <v>Elus</v>
      </c>
      <c r="E14" s="16" t="str">
        <f>IF($B14="-","-",VLOOKUP(ROUND(CONCATENATE($A14,E$2),0),'Cadastro - Padrões'!$A$2:$T$1160,E$1,FALSE))</f>
        <v>RBC - CAL 0439</v>
      </c>
      <c r="F14" s="16" t="str">
        <f>IF($B14="-","-",VLOOKUP(ROUND(CONCATENATE($A14,F$2),0),'Cadastro - Padrões'!$A$2:$T$1160,F$1,FALSE))</f>
        <v>E0397B/25</v>
      </c>
      <c r="G14" s="17">
        <f>IF($B14="-","-",VLOOKUP(ROUND(CONCATENATE($A14,G$2),0),'Cadastro - Padrões'!$A$2:$T$1160,G$1,FALSE))</f>
        <v>45822</v>
      </c>
      <c r="H14" s="18">
        <f>IF($B14="-","-",VLOOKUP(ROUND(CONCATENATE($A14,H$2),0),'Cadastro - Padrões'!$A$2:$T$1160,H$1,FALSE))</f>
        <v>46203</v>
      </c>
      <c r="I14" s="16" t="str">
        <f>IF($B14="-","-",VLOOKUP(ROUND(CONCATENATE($A14,I$2),0),'Cadastro - Padrões'!$A$2:$T$1160,I$1,FALSE))</f>
        <v>hPa</v>
      </c>
      <c r="J14" s="16">
        <f>IF($B14="-","-",VLOOKUP(ROUND(CONCATENATE($A14,J$2),0),'Cadastro - Padrões'!$A$2:$T$1160,J$1,FALSE))</f>
        <v>910.1</v>
      </c>
      <c r="K14" s="16">
        <f>IF($B14="-","-",VLOOKUP(ROUND(CONCATENATE($A14,K$2),0),'Cadastro - Padrões'!$A$2:$T$1160,K$1,FALSE))</f>
        <v>950.2</v>
      </c>
      <c r="L14" s="16">
        <f>IF($B14="-","-",VLOOKUP(ROUND(CONCATENATE($A14,L$2),0),'Cadastro - Padrões'!$A$2:$T$1160,L$1,FALSE))</f>
        <v>0.1</v>
      </c>
      <c r="M14" s="19">
        <f>IF($B14="-","-",VLOOKUP(ROUND(CONCATENATE($A14,M$2),0),'Cadastro - Padrões'!$A$2:$T$1160,M$1,FALSE))</f>
        <v>0.20000000000004547</v>
      </c>
      <c r="N14" s="16">
        <f>IF($B14="-","-",VLOOKUP(ROUND(CONCATENATE($A14,N$2),0),'Cadastro - Padrões'!$A$2:$T$1160,N$1,FALSE))</f>
        <v>0.2</v>
      </c>
      <c r="O14" s="19">
        <f>IF($B14="-","-",VLOOKUP(ROUND(CONCATENATE($A14,O$2),0),'Cadastro - Padrões'!$A$2:$T$1160,O$1,FALSE))</f>
        <v>0.5</v>
      </c>
      <c r="P14" s="16">
        <f ca="1">IF($B14="-","-",VLOOKUP(ROUND(CONCATENATE($A14,P$2),0),'Cadastro - Padrões'!$A$2:$T$1160,P$1,FALSE))</f>
        <v>0</v>
      </c>
      <c r="Q14" s="16">
        <f>IF($B14="-","-",VLOOKUP(ROUND(CONCATENATE($A14,Q$2),0),'Cadastro - Padrões'!$A$2:$T$1160,Q$1,FALSE))</f>
        <v>1</v>
      </c>
      <c r="R14" s="16">
        <f>IF($B14="-","-",VLOOKUP(ROUND(CONCATENATE($A14,R$2),0),'Cadastro - Padrões'!$A$2:$T$1160,R$1,FALSE))</f>
        <v>0</v>
      </c>
      <c r="S14" s="16">
        <f>IF($B14="-","-",VLOOKUP(ROUND(CONCATENATE($A14,S$2),0),'Cadastro - Padrões'!$A$2:$T$1160,S$1,FALSE))</f>
        <v>0</v>
      </c>
      <c r="T14" s="16">
        <f>IF($B14="-","-",VLOOKUP(ROUND(CONCATENATE($A14,T$2),0),'Cadastro - Padrões'!$A$2:$T$1160,T$1,FALSE))</f>
        <v>1.0025000000000008</v>
      </c>
      <c r="U14" s="16">
        <f>IF($B14="-","-",VLOOKUP(ROUND(CONCATENATE($A14,U$2),0),'Cadastro - Padrões'!$A$2:$T$1160,U$1,FALSE))</f>
        <v>-2.1916666666674018</v>
      </c>
      <c r="V14" s="16">
        <f>IF($B14="-","-",IF(VLOOKUP(ROUND(CONCATENATE($A14,V$2),0),'Cadastro - Padrões'!$A$2:$T$1160,V$1,FALSE)="","-",VLOOKUP(ROUND(CONCATENATE($A14,V$2),0),'Cadastro - Padrões'!$A$2:$T$1160,V$1,FALSE)))</f>
        <v>910.1</v>
      </c>
      <c r="W14" s="16">
        <f>IF($B14="-","-",IF(VLOOKUP(ROUND(CONCATENATE($A14,W$2),0),'Cadastro - Padrões'!$A$2:$T$1160,W$1,FALSE)="","-",VLOOKUP(ROUND(CONCATENATE($A14,W$2),0),'Cadastro - Padrões'!$A$2:$T$1160,W$1,FALSE)))</f>
        <v>0.2</v>
      </c>
      <c r="X14" s="16">
        <f>IF($B14="-","-",IF(VLOOKUP(ROUND(CONCATENATE($A14,X$2),0),'Cadastro - Padrões'!$A$2:$T$1160,X$1,FALSE)="","-",VLOOKUP(ROUND(CONCATENATE($A14,X$2),0),'Cadastro - Padrões'!$A$2:$T$1160,X$1,FALSE)))</f>
        <v>2</v>
      </c>
      <c r="Y14" s="16">
        <f>IF($B14="-","-",IF(VLOOKUP(ROUND(CONCATENATE($A14,Y$2),0),'Cadastro - Padrões'!$A$2:$T$1160,Y$1,FALSE)="","-",VLOOKUP(ROUND(CONCATENATE($A14,Y$2),0),'Cadastro - Padrões'!$A$2:$T$1160,Y$1,FALSE)))</f>
        <v>1000000</v>
      </c>
      <c r="Z14" s="16">
        <f>IF($B14="-","-",IF(VLOOKUP(ROUND(CONCATENATE($A14,Z$2),0),'Cadastro - Padrões'!$A$2:$T$1160,Z$1,FALSE)="","-",VLOOKUP(ROUND(CONCATENATE($A14,Z$2),0),'Cadastro - Padrões'!$A$2:$T$1160,Z$1,FALSE)))</f>
        <v>930.1</v>
      </c>
      <c r="AA14" s="16">
        <f>IF($B14="-","-",IF(VLOOKUP(ROUND(CONCATENATE($A14,AA$2),0),'Cadastro - Padrões'!$A$2:$T$1160,AA$1,FALSE)="","-",VLOOKUP(ROUND(CONCATENATE($A14,AA$2),0),'Cadastro - Padrões'!$A$2:$T$1160,AA$1,FALSE)))</f>
        <v>0.2</v>
      </c>
      <c r="AB14" s="16">
        <f>IF($B14="-","-",IF(VLOOKUP(ROUND(CONCATENATE($A14,AB$2),0),'Cadastro - Padrões'!$A$2:$T$1160,AB$1,FALSE)="","-",VLOOKUP(ROUND(CONCATENATE($A14,AB$2),0),'Cadastro - Padrões'!$A$2:$T$1160,AB$1,FALSE)))</f>
        <v>2</v>
      </c>
      <c r="AC14" s="16">
        <f>IF($B14="-","-",IF(VLOOKUP(ROUND(CONCATENATE($A14,AC$2),0),'Cadastro - Padrões'!$A$2:$T$1160,AC$1,FALSE)="","-",VLOOKUP(ROUND(CONCATENATE($A14,AC$2),0),'Cadastro - Padrões'!$A$2:$T$1160,AC$1,FALSE)))</f>
        <v>1000000</v>
      </c>
      <c r="AD14" s="16">
        <f>IF($B14="-","-",IF(VLOOKUP(ROUND(CONCATENATE($A14,AD$2),0),'Cadastro - Padrões'!$A$2:$T$1160,AD$1,FALSE)="","-",VLOOKUP(ROUND(CONCATENATE($A14,AD$2),0),'Cadastro - Padrões'!$A$2:$T$1160,AD$1,FALSE)))</f>
        <v>950.2</v>
      </c>
      <c r="AE14" s="16">
        <f>IF($B14="-","-",IF(VLOOKUP(ROUND(CONCATENATE($A14,AE$2),0),'Cadastro - Padrões'!$A$2:$T$1160,AE$1,FALSE)="","-",VLOOKUP(ROUND(CONCATENATE($A14,AE$2),0),'Cadastro - Padrões'!$A$2:$T$1160,AE$1,FALSE)))</f>
        <v>0.2</v>
      </c>
      <c r="AF14" s="16">
        <f>IF($B14="-","-",IF(VLOOKUP(ROUND(CONCATENATE($A14,AF$2),0),'Cadastro - Padrões'!$A$2:$T$1160,AF$1,FALSE)="","-",VLOOKUP(ROUND(CONCATENATE($A14,AF$2),0),'Cadastro - Padrões'!$A$2:$T$1160,AF$1,FALSE)))</f>
        <v>2</v>
      </c>
      <c r="AG14" s="16">
        <f>IF($B14="-","-",IF(VLOOKUP(ROUND(CONCATENATE($A14,AG$2),0),'Cadastro - Padrões'!$A$2:$T$1160,AG$1,FALSE)="","-",VLOOKUP(ROUND(CONCATENATE($A14,AG$2),0),'Cadastro - Padrões'!$A$2:$T$1160,AG$1,FALSE)))</f>
        <v>1000000</v>
      </c>
      <c r="AH14" s="16" t="str">
        <f>IF($B14="-","-",IF(VLOOKUP(ROUND(CONCATENATE($A14,AH$2),0),'Cadastro - Padrões'!$A$2:$T$1160,AH$1,FALSE)="","-",VLOOKUP(ROUND(CONCATENATE($A14,AH$2),0),'Cadastro - Padrões'!$A$2:$T$1160,AH$1,FALSE)))</f>
        <v>-</v>
      </c>
      <c r="AI14" s="16" t="str">
        <f>IF($B14="-","-",IF(VLOOKUP(ROUND(CONCATENATE($A14,AI$2),0),'Cadastro - Padrões'!$A$2:$T$1160,AI$1,FALSE)="","-",VLOOKUP(ROUND(CONCATENATE($A14,AI$2),0),'Cadastro - Padrões'!$A$2:$T$1160,AI$1,FALSE)))</f>
        <v>-</v>
      </c>
      <c r="AJ14" s="16" t="str">
        <f>IF($B14="-","-",IF(VLOOKUP(ROUND(CONCATENATE($A14,AJ$2),0),'Cadastro - Padrões'!$A$2:$T$1160,AJ$1,FALSE)="","-",VLOOKUP(ROUND(CONCATENATE($A14,AJ$2),0),'Cadastro - Padrões'!$A$2:$T$1160,AJ$1,FALSE)))</f>
        <v>-</v>
      </c>
      <c r="AK14" s="16" t="str">
        <f>IF($B14="-","-",IF(VLOOKUP(ROUND(CONCATENATE($A14,AK$2),0),'Cadastro - Padrões'!$A$2:$T$1160,AK$1,FALSE)="","-",VLOOKUP(ROUND(CONCATENATE($A14,AK$2),0),'Cadastro - Padrões'!$A$2:$T$1160,AK$1,FALSE)))</f>
        <v>-</v>
      </c>
      <c r="AL14" s="16" t="str">
        <f>IF($B14="-","-",IF(VLOOKUP(ROUND(CONCATENATE($A14,AL$2),0),'Cadastro - Padrões'!$A$2:$T$1160,AL$1,FALSE)="","-",VLOOKUP(ROUND(CONCATENATE($A14,AL$2),0),'Cadastro - Padrões'!$A$2:$T$1160,AL$1,FALSE)))</f>
        <v>-</v>
      </c>
      <c r="AM14" s="16" t="str">
        <f>IF($B14="-","-",IF(VLOOKUP(ROUND(CONCATENATE($A14,AM$2),0),'Cadastro - Padrões'!$A$2:$T$1160,AM$1,FALSE)="","-",VLOOKUP(ROUND(CONCATENATE($A14,AM$2),0),'Cadastro - Padrões'!$A$2:$T$1160,AM$1,FALSE)))</f>
        <v>-</v>
      </c>
      <c r="AN14" s="16" t="str">
        <f>IF($B14="-","-",IF(VLOOKUP(ROUND(CONCATENATE($A14,AN$2),0),'Cadastro - Padrões'!$A$2:$T$1160,AN$1,FALSE)="","-",VLOOKUP(ROUND(CONCATENATE($A14,AN$2),0),'Cadastro - Padrões'!$A$2:$T$1160,AN$1,FALSE)))</f>
        <v>-</v>
      </c>
      <c r="AO14" s="16" t="str">
        <f>IF($B14="-","-",IF(VLOOKUP(ROUND(CONCATENATE($A14,AO$2),0),'Cadastro - Padrões'!$A$2:$T$1160,AO$1,FALSE)="","-",VLOOKUP(ROUND(CONCATENATE($A14,AO$2),0),'Cadastro - Padrões'!$A$2:$T$1160,AO$1,FALSE)))</f>
        <v>-</v>
      </c>
      <c r="AP14" s="16" t="str">
        <f>IF($B14="-","-",IF(VLOOKUP(ROUND(CONCATENATE($A14,AP$2),0),'Cadastro - Padrões'!$A$2:$T$1160,AP$1,FALSE)="","-",VLOOKUP(ROUND(CONCATENATE($A14,AP$2),0),'Cadastro - Padrões'!$A$2:$T$1160,AP$1,FALSE)))</f>
        <v>-</v>
      </c>
      <c r="AQ14" s="16" t="str">
        <f>IF($B14="-","-",IF(VLOOKUP(ROUND(CONCATENATE($A14,AQ$2),0),'Cadastro - Padrões'!$A$2:$T$1160,AQ$1,FALSE)="","-",VLOOKUP(ROUND(CONCATENATE($A14,AQ$2),0),'Cadastro - Padrões'!$A$2:$T$1160,AQ$1,FALSE)))</f>
        <v>-</v>
      </c>
      <c r="AR14" s="16" t="str">
        <f>IF($B14="-","-",IF(VLOOKUP(ROUND(CONCATENATE($A14,AR$2),0),'Cadastro - Padrões'!$A$2:$T$1160,AR$1,FALSE)="","-",VLOOKUP(ROUND(CONCATENATE($A14,AR$2),0),'Cadastro - Padrões'!$A$2:$T$1160,AR$1,FALSE)))</f>
        <v>-</v>
      </c>
      <c r="AS14" s="16" t="str">
        <f>IF($B14="-","-",IF(VLOOKUP(ROUND(CONCATENATE($A14,AS$2),0),'Cadastro - Padrões'!$A$2:$T$1160,AS$1,FALSE)="","-",VLOOKUP(ROUND(CONCATENATE($A14,AS$2),0),'Cadastro - Padrões'!$A$2:$T$1160,AS$1,FALSE)))</f>
        <v>-</v>
      </c>
      <c r="AT14" s="16" t="str">
        <f>IF($B14="-","-",IF(VLOOKUP(ROUND(CONCATENATE($A14,AT$2),0),'Cadastro - Padrões'!$A$2:$T$1160,AT$1,FALSE)="","-",VLOOKUP(ROUND(CONCATENATE($A14,AT$2),0),'Cadastro - Padrões'!$A$2:$T$1160,AT$1,FALSE)))</f>
        <v>-</v>
      </c>
      <c r="AU14" s="16" t="str">
        <f>IF($B14="-","-",IF(VLOOKUP(ROUND(CONCATENATE($A14,AU$2),0),'Cadastro - Padrões'!$A$2:$T$1160,AU$1,FALSE)="","-",VLOOKUP(ROUND(CONCATENATE($A14,AU$2),0),'Cadastro - Padrões'!$A$2:$T$1160,AU$1,FALSE)))</f>
        <v>-</v>
      </c>
      <c r="AV14" s="16" t="str">
        <f>IF($B14="-","-",IF(VLOOKUP(ROUND(CONCATENATE($A14,AV$2),0),'Cadastro - Padrões'!$A$2:$T$1160,AV$1,FALSE)="","-",VLOOKUP(ROUND(CONCATENATE($A14,AV$2),0),'Cadastro - Padrões'!$A$2:$T$1160,AV$1,FALSE)))</f>
        <v>-</v>
      </c>
      <c r="AW14" s="16" t="str">
        <f>IF($B14="-","-",IF(VLOOKUP(ROUND(CONCATENATE($A14,AW$2),0),'Cadastro - Padrões'!$A$2:$T$1160,AW$1,FALSE)="","-",VLOOKUP(ROUND(CONCATENATE($A14,AW$2),0),'Cadastro - Padrões'!$A$2:$T$1160,AW$1,FALSE)))</f>
        <v>-</v>
      </c>
      <c r="AX14" s="16" t="str">
        <f>IF($B14="-","-",IF(VLOOKUP(ROUND(CONCATENATE($A14,AX$2),0),'Cadastro - Padrões'!$A$2:$T$1160,AX$1,FALSE)="","-",VLOOKUP(ROUND(CONCATENATE($A14,AX$2),0),'Cadastro - Padrões'!$A$2:$T$1160,AX$1,FALSE)))</f>
        <v>-</v>
      </c>
      <c r="AY14" s="16" t="str">
        <f>IF($B14="-","-",IF(VLOOKUP(ROUND(CONCATENATE($A14,AY$2),0),'Cadastro - Padrões'!$A$2:$T$1160,AY$1,FALSE)="","-",VLOOKUP(ROUND(CONCATENATE($A14,AY$2),0),'Cadastro - Padrões'!$A$2:$T$1160,AY$1,FALSE)))</f>
        <v>-</v>
      </c>
      <c r="AZ14" s="16" t="str">
        <f>IF($B14="-","-",IF(VLOOKUP(ROUND(CONCATENATE($A14,AZ$2),0),'Cadastro - Padrões'!$A$2:$T$1160,AZ$1,FALSE)="","-",VLOOKUP(ROUND(CONCATENATE($A14,AZ$2),0),'Cadastro - Padrões'!$A$2:$T$1160,AZ$1,FALSE)))</f>
        <v>-</v>
      </c>
      <c r="BA14" s="16" t="str">
        <f>IF($B14="-","-",IF(VLOOKUP(ROUND(CONCATENATE($A14,BA$2),0),'Cadastro - Padrões'!$A$2:$T$1160,BA$1,FALSE)="","-",VLOOKUP(ROUND(CONCATENATE($A14,BA$2),0),'Cadastro - Padrões'!$A$2:$T$1160,BA$1,FALSE)))</f>
        <v>-</v>
      </c>
      <c r="BB14" s="16" t="str">
        <f>IF($B14="-","-",IF(VLOOKUP(ROUND(CONCATENATE($A14,BB$2),0),'Cadastro - Padrões'!$A$2:$T$1160,BB$1,FALSE)="","-",VLOOKUP(ROUND(CONCATENATE($A14,BB$2),0),'Cadastro - Padrões'!$A$2:$T$1160,BB$1,FALSE)))</f>
        <v>-</v>
      </c>
      <c r="BC14" s="16" t="str">
        <f>IF($B14="-","-",IF(VLOOKUP(ROUND(CONCATENATE($A14,BC$2),0),'Cadastro - Padrões'!$A$2:$T$1160,BC$1,FALSE)="","-",VLOOKUP(ROUND(CONCATENATE($A14,BC$2),0),'Cadastro - Padrões'!$A$2:$T$1160,BC$1,FALSE)))</f>
        <v>-</v>
      </c>
      <c r="BD14" s="16" t="str">
        <f>IF($B14="-","-",IF(VLOOKUP(ROUND(CONCATENATE($A14,BD$2),0),'Cadastro - Padrões'!$A$2:$T$1160,BD$1,FALSE)="","-",VLOOKUP(ROUND(CONCATENATE($A14,BD$2),0),'Cadastro - Padrões'!$A$2:$T$1160,BD$1,FALSE)))</f>
        <v>-</v>
      </c>
      <c r="BE14" s="16" t="str">
        <f>IF($B14="-","-",IF(VLOOKUP(ROUND(CONCATENATE($A14,BE$2),0),'Cadastro - Padrões'!$A$2:$T$1160,BE$1,FALSE)="","-",VLOOKUP(ROUND(CONCATENATE($A14,BE$2),0),'Cadastro - Padrões'!$A$2:$T$1160,BE$1,FALSE)))</f>
        <v>-</v>
      </c>
      <c r="BF14" s="16" t="str">
        <f>IF($B14="-","-",IF(VLOOKUP(ROUND(CONCATENATE($A14,BF$2),0),'Cadastro - Padrões'!$A$2:$T$1160,BF$1,FALSE)="","-",VLOOKUP(ROUND(CONCATENATE($A14,BF$2),0),'Cadastro - Padrões'!$A$2:$T$1160,BF$1,FALSE)))</f>
        <v>-</v>
      </c>
      <c r="BG14" s="16" t="str">
        <f>IF($B14="-","-",IF(VLOOKUP(ROUND(CONCATENATE($A14,BG$2),0),'Cadastro - Padrões'!$A$2:$T$1160,BG$1,FALSE)="","-",VLOOKUP(ROUND(CONCATENATE($A14,BG$2),0),'Cadastro - Padrões'!$A$2:$T$1160,BG$1,FALSE)))</f>
        <v>-</v>
      </c>
      <c r="BH14" s="16" t="str">
        <f>IF($B14="-","-",IF(VLOOKUP(ROUND(CONCATENATE($A14,BH$2),0),'Cadastro - Padrões'!$A$2:$T$1160,BH$1,FALSE)="","-",VLOOKUP(ROUND(CONCATENATE($A14,BH$2),0),'Cadastro - Padrões'!$A$2:$T$1160,BH$1,FALSE)))</f>
        <v>-</v>
      </c>
      <c r="BI14" s="16" t="str">
        <f>IF($B14="-","-",IF(VLOOKUP(ROUND(CONCATENATE($A14,BI$2),0),'Cadastro - Padrões'!$A$2:$T$1160,BI$1,FALSE)="","-",VLOOKUP(ROUND(CONCATENATE($A14,BI$2),0),'Cadastro - Padrões'!$A$2:$T$1160,BI$1,FALSE)))</f>
        <v>-</v>
      </c>
      <c r="BJ14" s="16" t="str">
        <f>IF($B14="-","-",IF(VLOOKUP(ROUND(CONCATENATE($A14,BJ$2),0),'Cadastro - Padrões'!$A$2:$T$1160,BJ$1,FALSE)="","-",VLOOKUP(ROUND(CONCATENATE($A14,BJ$2),0),'Cadastro - Padrões'!$A$2:$T$1160,BJ$1,FALSE)))</f>
        <v>-</v>
      </c>
      <c r="BK14" s="16" t="str">
        <f>IF($B14="-","-",IF(VLOOKUP(ROUND(CONCATENATE($A14,BK$2),0),'Cadastro - Padrões'!$A$2:$T$1160,BK$1,FALSE)="","-",VLOOKUP(ROUND(CONCATENATE($A14,BK$2),0),'Cadastro - Padrões'!$A$2:$T$1160,BK$1,FALSE)))</f>
        <v>-</v>
      </c>
      <c r="BL14" s="16" t="str">
        <f>IF($B14="-","-",IF(VLOOKUP(ROUND(CONCATENATE($A14,BL$2),0),'Cadastro - Padrões'!$A$2:$T$1160,BL$1,FALSE)="","-",VLOOKUP(ROUND(CONCATENATE($A14,BL$2),0),'Cadastro - Padrões'!$A$2:$T$1160,BL$1,FALSE)))</f>
        <v>-</v>
      </c>
      <c r="BM14" s="16" t="str">
        <f>IF($B14="-","-",IF(VLOOKUP(ROUND(CONCATENATE($A14,BM$2),0),'Cadastro - Padrões'!$A$2:$T$1160,BM$1,FALSE)="","-",VLOOKUP(ROUND(CONCATENATE($A14,BM$2),0),'Cadastro - Padrões'!$A$2:$T$1160,BM$1,FALSE)))</f>
        <v>-</v>
      </c>
      <c r="BN14" s="16" t="str">
        <f>IF($B14="-","-",IF(VLOOKUP(ROUND(CONCATENATE($A14,BN$2),0),'Cadastro - Padrões'!$A$2:$T$1160,BN$1,FALSE)="","-",VLOOKUP(ROUND(CONCATENATE($A14,BN$2),0),'Cadastro - Padrões'!$A$2:$T$1160,BN$1,FALSE)))</f>
        <v>-</v>
      </c>
      <c r="BO14" s="16" t="str">
        <f>IF($B14="-","-",IF(VLOOKUP(ROUND(CONCATENATE($A14,BO$2),0),'Cadastro - Padrões'!$A$2:$T$1160,BO$1,FALSE)="","-",VLOOKUP(ROUND(CONCATENATE($A14,BO$2),0),'Cadastro - Padrões'!$A$2:$T$1160,BO$1,FALSE)))</f>
        <v>-</v>
      </c>
      <c r="BP14" s="16" t="str">
        <f>IF($B14="-","-",IF(VLOOKUP(ROUND(CONCATENATE($A14,BP$2),0),'Cadastro - Padrões'!$A$2:$T$1160,BP$1,FALSE)="","-",VLOOKUP(ROUND(CONCATENATE($A14,BP$2),0),'Cadastro - Padrões'!$A$2:$T$1160,BP$1,FALSE)))</f>
        <v>-</v>
      </c>
      <c r="BQ14" s="16" t="str">
        <f>IF($B14="-","-",IF(VLOOKUP(ROUND(CONCATENATE($A14,BQ$2),0),'Cadastro - Padrões'!$A$2:$T$1160,BQ$1,FALSE)="","-",VLOOKUP(ROUND(CONCATENATE($A14,BQ$2),0),'Cadastro - Padrões'!$A$2:$T$1160,BQ$1,FALSE)))</f>
        <v>-</v>
      </c>
      <c r="BR14" s="16" t="str">
        <f>IF($B14="-","-",IF(VLOOKUP(ROUND(CONCATENATE($A14,BR$2),0),'Cadastro - Padrões'!$A$2:$T$1160,BR$1,FALSE)="","-",VLOOKUP(ROUND(CONCATENATE($A14,BR$2),0),'Cadastro - Padrões'!$A$2:$T$1160,BR$1,FALSE)))</f>
        <v>-</v>
      </c>
      <c r="BS14" s="16" t="str">
        <f>IF($B14="-","-",IF(VLOOKUP(ROUND(CONCATENATE($A14,BS$2),0),'Cadastro - Padrões'!$A$2:$T$1160,BS$1,FALSE)="","-",VLOOKUP(ROUND(CONCATENATE($A14,BS$2),0),'Cadastro - Padrões'!$A$2:$T$1160,BS$1,FALSE)))</f>
        <v>-</v>
      </c>
      <c r="BT14" s="16" t="str">
        <f>IF($B14="-","-",IF(VLOOKUP(ROUND(CONCATENATE($A14,BT$2),0),'Cadastro - Padrões'!$A$2:$T$1160,BT$1,FALSE)="","-",VLOOKUP(ROUND(CONCATENATE($A14,BT$2),0),'Cadastro - Padrões'!$A$2:$T$1160,BT$1,FALSE)))</f>
        <v>-</v>
      </c>
      <c r="BU14" s="16" t="str">
        <f>IF($B14="-","-",IF(VLOOKUP(ROUND(CONCATENATE($A14,BU$2),0),'Cadastro - Padrões'!$A$2:$T$1160,BU$1,FALSE)="","-",VLOOKUP(ROUND(CONCATENATE($A14,BU$2),0),'Cadastro - Padrões'!$A$2:$T$1160,BU$1,FALSE)))</f>
        <v>-</v>
      </c>
      <c r="BV14" s="16" t="str">
        <f>IF($B14="-","-",IF(VLOOKUP(ROUND(CONCATENATE($A14,BV$2),0),'Cadastro - Padrões'!$A$2:$T$1160,BV$1,FALSE)="","-",VLOOKUP(ROUND(CONCATENATE($A14,BV$2),0),'Cadastro - Padrões'!$A$2:$T$1160,BV$1,FALSE)))</f>
        <v>-</v>
      </c>
      <c r="BW14" s="16" t="str">
        <f>IF($B14="-","-",IF(VLOOKUP(ROUND(CONCATENATE($A14,BW$2),0),'Cadastro - Padrões'!$A$2:$T$1160,BW$1,FALSE)="","-",VLOOKUP(ROUND(CONCATENATE($A14,BW$2),0),'Cadastro - Padrões'!$A$2:$T$1160,BW$1,FALSE)))</f>
        <v>-</v>
      </c>
      <c r="BX14" s="16" t="str">
        <f>IF($B14="-","-",IF(VLOOKUP(ROUND(CONCATENATE($A14,BX$2),0),'Cadastro - Padrões'!$A$2:$T$1160,BX$1,FALSE)="","-",VLOOKUP(ROUND(CONCATENATE($A14,BX$2),0),'Cadastro - Padrões'!$A$2:$T$1160,BX$1,FALSE)))</f>
        <v>-</v>
      </c>
      <c r="BY14" s="16" t="str">
        <f>IF($B14="-","-",IF(VLOOKUP(ROUND(CONCATENATE($A14,BY$2),0),'Cadastro - Padrões'!$A$2:$T$1160,BY$1,FALSE)="","-",VLOOKUP(ROUND(CONCATENATE($A14,BY$2),0),'Cadastro - Padrões'!$A$2:$T$1160,BY$1,FALSE)))</f>
        <v>-</v>
      </c>
      <c r="BZ14" s="16" t="str">
        <f>IF($B14="-","-",IF(VLOOKUP(ROUND(CONCATENATE($A14,BZ$2),0),'Cadastro - Padrões'!$A$2:$T$1160,BZ$1,FALSE)="","-",VLOOKUP(ROUND(CONCATENATE($A14,BZ$2),0),'Cadastro - Padrões'!$A$2:$T$1160,BZ$1,FALSE)))</f>
        <v>-</v>
      </c>
      <c r="CA14" s="16" t="str">
        <f>IF($B14="-","-",IF(VLOOKUP(ROUND(CONCATENATE($A14,CA$2),0),'Cadastro - Padrões'!$A$2:$T$1160,CA$1,FALSE)="","-",VLOOKUP(ROUND(CONCATENATE($A14,CA$2),0),'Cadastro - Padrões'!$A$2:$T$1160,CA$1,FALSE)))</f>
        <v>-</v>
      </c>
      <c r="CB14" s="16" t="str">
        <f>IF($B14="-","-",IF(VLOOKUP(ROUND(CONCATENATE($A14,CB$2),0),'Cadastro - Padrões'!$A$2:$T$1160,CB$1,FALSE)="","-",VLOOKUP(ROUND(CONCATENATE($A14,CB$2),0),'Cadastro - Padrões'!$A$2:$T$1160,CB$1,FALSE)))</f>
        <v>-</v>
      </c>
      <c r="CC14" s="16" t="str">
        <f>IF($B14="-","-",IF(VLOOKUP(ROUND(CONCATENATE($A14,CC$2),0),'Cadastro - Padrões'!$A$2:$T$1160,CC$1,FALSE)="","-",VLOOKUP(ROUND(CONCATENATE($A14,CC$2),0),'Cadastro - Padrões'!$A$2:$T$1160,CC$1,FALSE)))</f>
        <v>-</v>
      </c>
    </row>
    <row r="15" spans="1:81" x14ac:dyDescent="0.3">
      <c r="A15" s="15">
        <f t="shared" si="82"/>
        <v>10</v>
      </c>
      <c r="B15" s="16" t="str">
        <f>IF(VLOOKUP(ROUND(CONCATENATE($A15,B$2),0),'Cadastro - Padrões'!$A$2:$T$1160,B$1,FALSE)="","-",VLOOKUP(ROUND(CONCATENATE($A15,B$2),0),'Cadastro - Padrões'!$A$2:$T$1160,B$1,FALSE))</f>
        <v>E.TH.LQ-002</v>
      </c>
      <c r="C15" s="16" t="str">
        <f>IF(VLOOKUP(ROUND(CONCATENATE($A15,C$2),0),'Cadastro - Padrões'!$A$2:$T$1160,C$1,FALSE)="","-",VLOOKUP(ROUND(CONCATENATE($A15,C$2),0),'Cadastro - Padrões'!$A$2:$T$1160,C$1,FALSE))</f>
        <v>Barômetro Digital</v>
      </c>
      <c r="D15" s="16" t="str">
        <f>IF($B15="-","-",VLOOKUP(ROUND(CONCATENATE($A15,D$2),0),'Cadastro - Padrões'!$A$2:$T$1160,D$1,FALSE))</f>
        <v>Elus</v>
      </c>
      <c r="E15" s="16" t="str">
        <f>IF($B15="-","-",VLOOKUP(ROUND(CONCATENATE($A15,E$2),0),'Cadastro - Padrões'!$A$2:$T$1160,E$1,FALSE))</f>
        <v>RBC - CAL 0439</v>
      </c>
      <c r="F15" s="16" t="str">
        <f>IF($B15="-","-",VLOOKUP(ROUND(CONCATENATE($A15,F$2),0),'Cadastro - Padrões'!$A$2:$T$1160,F$1,FALSE))</f>
        <v>E0398B/25</v>
      </c>
      <c r="G15" s="17">
        <f>IF($B15="-","-",VLOOKUP(ROUND(CONCATENATE($A15,G$2),0),'Cadastro - Padrões'!$A$2:$T$1160,G$1,FALSE))</f>
        <v>45822</v>
      </c>
      <c r="H15" s="18">
        <f>IF($B15="-","-",VLOOKUP(ROUND(CONCATENATE($A15,H$2),0),'Cadastro - Padrões'!$A$2:$T$1160,H$1,FALSE))</f>
        <v>46203</v>
      </c>
      <c r="I15" s="16" t="str">
        <f>IF($B15="-","-",VLOOKUP(ROUND(CONCATENATE($A15,I$2),0),'Cadastro - Padrões'!$A$2:$T$1160,I$1,FALSE))</f>
        <v>hPa</v>
      </c>
      <c r="J15" s="16">
        <f>IF($B15="-","-",VLOOKUP(ROUND(CONCATENATE($A15,J$2),0),'Cadastro - Padrões'!$A$2:$T$1160,J$1,FALSE))</f>
        <v>910</v>
      </c>
      <c r="K15" s="16">
        <f>IF($B15="-","-",VLOOKUP(ROUND(CONCATENATE($A15,K$2),0),'Cadastro - Padrões'!$A$2:$T$1160,K$1,FALSE))</f>
        <v>950</v>
      </c>
      <c r="L15" s="16">
        <f>IF($B15="-","-",VLOOKUP(ROUND(CONCATENATE($A15,L$2),0),'Cadastro - Padrões'!$A$2:$T$1160,L$1,FALSE))</f>
        <v>0.1</v>
      </c>
      <c r="M15" s="19">
        <f>IF($B15="-","-",VLOOKUP(ROUND(CONCATENATE($A15,M$2),0),'Cadastro - Padrões'!$A$2:$T$1160,M$1,FALSE))</f>
        <v>0</v>
      </c>
      <c r="N15" s="16">
        <f>IF($B15="-","-",VLOOKUP(ROUND(CONCATENATE($A15,N$2),0),'Cadastro - Padrões'!$A$2:$T$1160,N$1,FALSE))</f>
        <v>0.2</v>
      </c>
      <c r="O15" s="19">
        <f>IF($B15="-","-",VLOOKUP(ROUND(CONCATENATE($A15,O$2),0),'Cadastro - Padrões'!$A$2:$T$1160,O$1,FALSE))</f>
        <v>0</v>
      </c>
      <c r="P15" s="16">
        <f ca="1">IF($B15="-","-",VLOOKUP(ROUND(CONCATENATE($A15,P$2),0),'Cadastro - Padrões'!$A$2:$T$1160,P$1,FALSE))</f>
        <v>0</v>
      </c>
      <c r="Q15" s="16">
        <f>IF($B15="-","-",VLOOKUP(ROUND(CONCATENATE($A15,Q$2),0),'Cadastro - Padrões'!$A$2:$T$1160,Q$1,FALSE))</f>
        <v>1</v>
      </c>
      <c r="R15" s="16">
        <f>IF($B15="-","-",VLOOKUP(ROUND(CONCATENATE($A15,R$2),0),'Cadastro - Padrões'!$A$2:$T$1160,R$1,FALSE))</f>
        <v>0</v>
      </c>
      <c r="S15" s="16">
        <f>IF($B15="-","-",VLOOKUP(ROUND(CONCATENATE($A15,S$2),0),'Cadastro - Padrões'!$A$2:$T$1160,S$1,FALSE))</f>
        <v>0</v>
      </c>
      <c r="T15" s="16">
        <f>IF($B15="-","-",VLOOKUP(ROUND(CONCATENATE($A15,T$2),0),'Cadastro - Padrões'!$A$2:$T$1160,T$1,FALSE))</f>
        <v>1.0000000000000002</v>
      </c>
      <c r="U15" s="16">
        <f>IF($B15="-","-",VLOOKUP(ROUND(CONCATENATE($A15,U$2),0),'Cadastro - Padrões'!$A$2:$T$1160,U$1,FALSE))</f>
        <v>-2.2737367544323206E-13</v>
      </c>
      <c r="V15" s="16">
        <f>IF($B15="-","-",IF(VLOOKUP(ROUND(CONCATENATE($A15,V$2),0),'Cadastro - Padrões'!$A$2:$T$1160,V$1,FALSE)="","-",VLOOKUP(ROUND(CONCATENATE($A15,V$2),0),'Cadastro - Padrões'!$A$2:$T$1160,V$1,FALSE)))</f>
        <v>910</v>
      </c>
      <c r="W15" s="16">
        <f>IF($B15="-","-",IF(VLOOKUP(ROUND(CONCATENATE($A15,W$2),0),'Cadastro - Padrões'!$A$2:$T$1160,W$1,FALSE)="","-",VLOOKUP(ROUND(CONCATENATE($A15,W$2),0),'Cadastro - Padrões'!$A$2:$T$1160,W$1,FALSE)))</f>
        <v>0.2</v>
      </c>
      <c r="X15" s="16">
        <f>IF($B15="-","-",IF(VLOOKUP(ROUND(CONCATENATE($A15,X$2),0),'Cadastro - Padrões'!$A$2:$T$1160,X$1,FALSE)="","-",VLOOKUP(ROUND(CONCATENATE($A15,X$2),0),'Cadastro - Padrões'!$A$2:$T$1160,X$1,FALSE)))</f>
        <v>2</v>
      </c>
      <c r="Y15" s="16">
        <f>IF($B15="-","-",IF(VLOOKUP(ROUND(CONCATENATE($A15,Y$2),0),'Cadastro - Padrões'!$A$2:$T$1160,Y$1,FALSE)="","-",VLOOKUP(ROUND(CONCATENATE($A15,Y$2),0),'Cadastro - Padrões'!$A$2:$T$1160,Y$1,FALSE)))</f>
        <v>1000000</v>
      </c>
      <c r="Z15" s="16">
        <f>IF($B15="-","-",IF(VLOOKUP(ROUND(CONCATENATE($A15,Z$2),0),'Cadastro - Padrões'!$A$2:$T$1160,Z$1,FALSE)="","-",VLOOKUP(ROUND(CONCATENATE($A15,Z$2),0),'Cadastro - Padrões'!$A$2:$T$1160,Z$1,FALSE)))</f>
        <v>930</v>
      </c>
      <c r="AA15" s="16">
        <f>IF($B15="-","-",IF(VLOOKUP(ROUND(CONCATENATE($A15,AA$2),0),'Cadastro - Padrões'!$A$2:$T$1160,AA$1,FALSE)="","-",VLOOKUP(ROUND(CONCATENATE($A15,AA$2),0),'Cadastro - Padrões'!$A$2:$T$1160,AA$1,FALSE)))</f>
        <v>0.2</v>
      </c>
      <c r="AB15" s="16">
        <f>IF($B15="-","-",IF(VLOOKUP(ROUND(CONCATENATE($A15,AB$2),0),'Cadastro - Padrões'!$A$2:$T$1160,AB$1,FALSE)="","-",VLOOKUP(ROUND(CONCATENATE($A15,AB$2),0),'Cadastro - Padrões'!$A$2:$T$1160,AB$1,FALSE)))</f>
        <v>2</v>
      </c>
      <c r="AC15" s="16">
        <f>IF($B15="-","-",IF(VLOOKUP(ROUND(CONCATENATE($A15,AC$2),0),'Cadastro - Padrões'!$A$2:$T$1160,AC$1,FALSE)="","-",VLOOKUP(ROUND(CONCATENATE($A15,AC$2),0),'Cadastro - Padrões'!$A$2:$T$1160,AC$1,FALSE)))</f>
        <v>1000000</v>
      </c>
      <c r="AD15" s="16">
        <f>IF($B15="-","-",IF(VLOOKUP(ROUND(CONCATENATE($A15,AD$2),0),'Cadastro - Padrões'!$A$2:$T$1160,AD$1,FALSE)="","-",VLOOKUP(ROUND(CONCATENATE($A15,AD$2),0),'Cadastro - Padrões'!$A$2:$T$1160,AD$1,FALSE)))</f>
        <v>950</v>
      </c>
      <c r="AE15" s="16">
        <f>IF($B15="-","-",IF(VLOOKUP(ROUND(CONCATENATE($A15,AE$2),0),'Cadastro - Padrões'!$A$2:$T$1160,AE$1,FALSE)="","-",VLOOKUP(ROUND(CONCATENATE($A15,AE$2),0),'Cadastro - Padrões'!$A$2:$T$1160,AE$1,FALSE)))</f>
        <v>0.2</v>
      </c>
      <c r="AF15" s="16">
        <f>IF($B15="-","-",IF(VLOOKUP(ROUND(CONCATENATE($A15,AF$2),0),'Cadastro - Padrões'!$A$2:$T$1160,AF$1,FALSE)="","-",VLOOKUP(ROUND(CONCATENATE($A15,AF$2),0),'Cadastro - Padrões'!$A$2:$T$1160,AF$1,FALSE)))</f>
        <v>2</v>
      </c>
      <c r="AG15" s="16">
        <f>IF($B15="-","-",IF(VLOOKUP(ROUND(CONCATENATE($A15,AG$2),0),'Cadastro - Padrões'!$A$2:$T$1160,AG$1,FALSE)="","-",VLOOKUP(ROUND(CONCATENATE($A15,AG$2),0),'Cadastro - Padrões'!$A$2:$T$1160,AG$1,FALSE)))</f>
        <v>1000000</v>
      </c>
      <c r="AH15" s="16" t="str">
        <f>IF($B15="-","-",IF(VLOOKUP(ROUND(CONCATENATE($A15,AH$2),0),'Cadastro - Padrões'!$A$2:$T$1160,AH$1,FALSE)="","-",VLOOKUP(ROUND(CONCATENATE($A15,AH$2),0),'Cadastro - Padrões'!$A$2:$T$1160,AH$1,FALSE)))</f>
        <v>-</v>
      </c>
      <c r="AI15" s="16" t="str">
        <f>IF($B15="-","-",IF(VLOOKUP(ROUND(CONCATENATE($A15,AI$2),0),'Cadastro - Padrões'!$A$2:$T$1160,AI$1,FALSE)="","-",VLOOKUP(ROUND(CONCATENATE($A15,AI$2),0),'Cadastro - Padrões'!$A$2:$T$1160,AI$1,FALSE)))</f>
        <v>-</v>
      </c>
      <c r="AJ15" s="16" t="str">
        <f>IF($B15="-","-",IF(VLOOKUP(ROUND(CONCATENATE($A15,AJ$2),0),'Cadastro - Padrões'!$A$2:$T$1160,AJ$1,FALSE)="","-",VLOOKUP(ROUND(CONCATENATE($A15,AJ$2),0),'Cadastro - Padrões'!$A$2:$T$1160,AJ$1,FALSE)))</f>
        <v>-</v>
      </c>
      <c r="AK15" s="16" t="str">
        <f>IF($B15="-","-",IF(VLOOKUP(ROUND(CONCATENATE($A15,AK$2),0),'Cadastro - Padrões'!$A$2:$T$1160,AK$1,FALSE)="","-",VLOOKUP(ROUND(CONCATENATE($A15,AK$2),0),'Cadastro - Padrões'!$A$2:$T$1160,AK$1,FALSE)))</f>
        <v>-</v>
      </c>
      <c r="AL15" s="16" t="str">
        <f>IF($B15="-","-",IF(VLOOKUP(ROUND(CONCATENATE($A15,AL$2),0),'Cadastro - Padrões'!$A$2:$T$1160,AL$1,FALSE)="","-",VLOOKUP(ROUND(CONCATENATE($A15,AL$2),0),'Cadastro - Padrões'!$A$2:$T$1160,AL$1,FALSE)))</f>
        <v>-</v>
      </c>
      <c r="AM15" s="16" t="str">
        <f>IF($B15="-","-",IF(VLOOKUP(ROUND(CONCATENATE($A15,AM$2),0),'Cadastro - Padrões'!$A$2:$T$1160,AM$1,FALSE)="","-",VLOOKUP(ROUND(CONCATENATE($A15,AM$2),0),'Cadastro - Padrões'!$A$2:$T$1160,AM$1,FALSE)))</f>
        <v>-</v>
      </c>
      <c r="AN15" s="16" t="str">
        <f>IF($B15="-","-",IF(VLOOKUP(ROUND(CONCATENATE($A15,AN$2),0),'Cadastro - Padrões'!$A$2:$T$1160,AN$1,FALSE)="","-",VLOOKUP(ROUND(CONCATENATE($A15,AN$2),0),'Cadastro - Padrões'!$A$2:$T$1160,AN$1,FALSE)))</f>
        <v>-</v>
      </c>
      <c r="AO15" s="16" t="str">
        <f>IF($B15="-","-",IF(VLOOKUP(ROUND(CONCATENATE($A15,AO$2),0),'Cadastro - Padrões'!$A$2:$T$1160,AO$1,FALSE)="","-",VLOOKUP(ROUND(CONCATENATE($A15,AO$2),0),'Cadastro - Padrões'!$A$2:$T$1160,AO$1,FALSE)))</f>
        <v>-</v>
      </c>
      <c r="AP15" s="16" t="str">
        <f>IF($B15="-","-",IF(VLOOKUP(ROUND(CONCATENATE($A15,AP$2),0),'Cadastro - Padrões'!$A$2:$T$1160,AP$1,FALSE)="","-",VLOOKUP(ROUND(CONCATENATE($A15,AP$2),0),'Cadastro - Padrões'!$A$2:$T$1160,AP$1,FALSE)))</f>
        <v>-</v>
      </c>
      <c r="AQ15" s="16" t="str">
        <f>IF($B15="-","-",IF(VLOOKUP(ROUND(CONCATENATE($A15,AQ$2),0),'Cadastro - Padrões'!$A$2:$T$1160,AQ$1,FALSE)="","-",VLOOKUP(ROUND(CONCATENATE($A15,AQ$2),0),'Cadastro - Padrões'!$A$2:$T$1160,AQ$1,FALSE)))</f>
        <v>-</v>
      </c>
      <c r="AR15" s="16" t="str">
        <f>IF($B15="-","-",IF(VLOOKUP(ROUND(CONCATENATE($A15,AR$2),0),'Cadastro - Padrões'!$A$2:$T$1160,AR$1,FALSE)="","-",VLOOKUP(ROUND(CONCATENATE($A15,AR$2),0),'Cadastro - Padrões'!$A$2:$T$1160,AR$1,FALSE)))</f>
        <v>-</v>
      </c>
      <c r="AS15" s="16" t="str">
        <f>IF($B15="-","-",IF(VLOOKUP(ROUND(CONCATENATE($A15,AS$2),0),'Cadastro - Padrões'!$A$2:$T$1160,AS$1,FALSE)="","-",VLOOKUP(ROUND(CONCATENATE($A15,AS$2),0),'Cadastro - Padrões'!$A$2:$T$1160,AS$1,FALSE)))</f>
        <v>-</v>
      </c>
      <c r="AT15" s="16" t="str">
        <f>IF($B15="-","-",IF(VLOOKUP(ROUND(CONCATENATE($A15,AT$2),0),'Cadastro - Padrões'!$A$2:$T$1160,AT$1,FALSE)="","-",VLOOKUP(ROUND(CONCATENATE($A15,AT$2),0),'Cadastro - Padrões'!$A$2:$T$1160,AT$1,FALSE)))</f>
        <v>-</v>
      </c>
      <c r="AU15" s="16" t="str">
        <f>IF($B15="-","-",IF(VLOOKUP(ROUND(CONCATENATE($A15,AU$2),0),'Cadastro - Padrões'!$A$2:$T$1160,AU$1,FALSE)="","-",VLOOKUP(ROUND(CONCATENATE($A15,AU$2),0),'Cadastro - Padrões'!$A$2:$T$1160,AU$1,FALSE)))</f>
        <v>-</v>
      </c>
      <c r="AV15" s="16" t="str">
        <f>IF($B15="-","-",IF(VLOOKUP(ROUND(CONCATENATE($A15,AV$2),0),'Cadastro - Padrões'!$A$2:$T$1160,AV$1,FALSE)="","-",VLOOKUP(ROUND(CONCATENATE($A15,AV$2),0),'Cadastro - Padrões'!$A$2:$T$1160,AV$1,FALSE)))</f>
        <v>-</v>
      </c>
      <c r="AW15" s="16" t="str">
        <f>IF($B15="-","-",IF(VLOOKUP(ROUND(CONCATENATE($A15,AW$2),0),'Cadastro - Padrões'!$A$2:$T$1160,AW$1,FALSE)="","-",VLOOKUP(ROUND(CONCATENATE($A15,AW$2),0),'Cadastro - Padrões'!$A$2:$T$1160,AW$1,FALSE)))</f>
        <v>-</v>
      </c>
      <c r="AX15" s="16" t="str">
        <f>IF($B15="-","-",IF(VLOOKUP(ROUND(CONCATENATE($A15,AX$2),0),'Cadastro - Padrões'!$A$2:$T$1160,AX$1,FALSE)="","-",VLOOKUP(ROUND(CONCATENATE($A15,AX$2),0),'Cadastro - Padrões'!$A$2:$T$1160,AX$1,FALSE)))</f>
        <v>-</v>
      </c>
      <c r="AY15" s="16" t="str">
        <f>IF($B15="-","-",IF(VLOOKUP(ROUND(CONCATENATE($A15,AY$2),0),'Cadastro - Padrões'!$A$2:$T$1160,AY$1,FALSE)="","-",VLOOKUP(ROUND(CONCATENATE($A15,AY$2),0),'Cadastro - Padrões'!$A$2:$T$1160,AY$1,FALSE)))</f>
        <v>-</v>
      </c>
      <c r="AZ15" s="16" t="str">
        <f>IF($B15="-","-",IF(VLOOKUP(ROUND(CONCATENATE($A15,AZ$2),0),'Cadastro - Padrões'!$A$2:$T$1160,AZ$1,FALSE)="","-",VLOOKUP(ROUND(CONCATENATE($A15,AZ$2),0),'Cadastro - Padrões'!$A$2:$T$1160,AZ$1,FALSE)))</f>
        <v>-</v>
      </c>
      <c r="BA15" s="16" t="str">
        <f>IF($B15="-","-",IF(VLOOKUP(ROUND(CONCATENATE($A15,BA$2),0),'Cadastro - Padrões'!$A$2:$T$1160,BA$1,FALSE)="","-",VLOOKUP(ROUND(CONCATENATE($A15,BA$2),0),'Cadastro - Padrões'!$A$2:$T$1160,BA$1,FALSE)))</f>
        <v>-</v>
      </c>
      <c r="BB15" s="16" t="str">
        <f>IF($B15="-","-",IF(VLOOKUP(ROUND(CONCATENATE($A15,BB$2),0),'Cadastro - Padrões'!$A$2:$T$1160,BB$1,FALSE)="","-",VLOOKUP(ROUND(CONCATENATE($A15,BB$2),0),'Cadastro - Padrões'!$A$2:$T$1160,BB$1,FALSE)))</f>
        <v>-</v>
      </c>
      <c r="BC15" s="16" t="str">
        <f>IF($B15="-","-",IF(VLOOKUP(ROUND(CONCATENATE($A15,BC$2),0),'Cadastro - Padrões'!$A$2:$T$1160,BC$1,FALSE)="","-",VLOOKUP(ROUND(CONCATENATE($A15,BC$2),0),'Cadastro - Padrões'!$A$2:$T$1160,BC$1,FALSE)))</f>
        <v>-</v>
      </c>
      <c r="BD15" s="16" t="str">
        <f>IF($B15="-","-",IF(VLOOKUP(ROUND(CONCATENATE($A15,BD$2),0),'Cadastro - Padrões'!$A$2:$T$1160,BD$1,FALSE)="","-",VLOOKUP(ROUND(CONCATENATE($A15,BD$2),0),'Cadastro - Padrões'!$A$2:$T$1160,BD$1,FALSE)))</f>
        <v>-</v>
      </c>
      <c r="BE15" s="16" t="str">
        <f>IF($B15="-","-",IF(VLOOKUP(ROUND(CONCATENATE($A15,BE$2),0),'Cadastro - Padrões'!$A$2:$T$1160,BE$1,FALSE)="","-",VLOOKUP(ROUND(CONCATENATE($A15,BE$2),0),'Cadastro - Padrões'!$A$2:$T$1160,BE$1,FALSE)))</f>
        <v>-</v>
      </c>
      <c r="BF15" s="16" t="str">
        <f>IF($B15="-","-",IF(VLOOKUP(ROUND(CONCATENATE($A15,BF$2),0),'Cadastro - Padrões'!$A$2:$T$1160,BF$1,FALSE)="","-",VLOOKUP(ROUND(CONCATENATE($A15,BF$2),0),'Cadastro - Padrões'!$A$2:$T$1160,BF$1,FALSE)))</f>
        <v>-</v>
      </c>
      <c r="BG15" s="16" t="str">
        <f>IF($B15="-","-",IF(VLOOKUP(ROUND(CONCATENATE($A15,BG$2),0),'Cadastro - Padrões'!$A$2:$T$1160,BG$1,FALSE)="","-",VLOOKUP(ROUND(CONCATENATE($A15,BG$2),0),'Cadastro - Padrões'!$A$2:$T$1160,BG$1,FALSE)))</f>
        <v>-</v>
      </c>
      <c r="BH15" s="16" t="str">
        <f>IF($B15="-","-",IF(VLOOKUP(ROUND(CONCATENATE($A15,BH$2),0),'Cadastro - Padrões'!$A$2:$T$1160,BH$1,FALSE)="","-",VLOOKUP(ROUND(CONCATENATE($A15,BH$2),0),'Cadastro - Padrões'!$A$2:$T$1160,BH$1,FALSE)))</f>
        <v>-</v>
      </c>
      <c r="BI15" s="16" t="str">
        <f>IF($B15="-","-",IF(VLOOKUP(ROUND(CONCATENATE($A15,BI$2),0),'Cadastro - Padrões'!$A$2:$T$1160,BI$1,FALSE)="","-",VLOOKUP(ROUND(CONCATENATE($A15,BI$2),0),'Cadastro - Padrões'!$A$2:$T$1160,BI$1,FALSE)))</f>
        <v>-</v>
      </c>
      <c r="BJ15" s="16" t="str">
        <f>IF($B15="-","-",IF(VLOOKUP(ROUND(CONCATENATE($A15,BJ$2),0),'Cadastro - Padrões'!$A$2:$T$1160,BJ$1,FALSE)="","-",VLOOKUP(ROUND(CONCATENATE($A15,BJ$2),0),'Cadastro - Padrões'!$A$2:$T$1160,BJ$1,FALSE)))</f>
        <v>-</v>
      </c>
      <c r="BK15" s="16" t="str">
        <f>IF($B15="-","-",IF(VLOOKUP(ROUND(CONCATENATE($A15,BK$2),0),'Cadastro - Padrões'!$A$2:$T$1160,BK$1,FALSE)="","-",VLOOKUP(ROUND(CONCATENATE($A15,BK$2),0),'Cadastro - Padrões'!$A$2:$T$1160,BK$1,FALSE)))</f>
        <v>-</v>
      </c>
      <c r="BL15" s="16" t="str">
        <f>IF($B15="-","-",IF(VLOOKUP(ROUND(CONCATENATE($A15,BL$2),0),'Cadastro - Padrões'!$A$2:$T$1160,BL$1,FALSE)="","-",VLOOKUP(ROUND(CONCATENATE($A15,BL$2),0),'Cadastro - Padrões'!$A$2:$T$1160,BL$1,FALSE)))</f>
        <v>-</v>
      </c>
      <c r="BM15" s="16" t="str">
        <f>IF($B15="-","-",IF(VLOOKUP(ROUND(CONCATENATE($A15,BM$2),0),'Cadastro - Padrões'!$A$2:$T$1160,BM$1,FALSE)="","-",VLOOKUP(ROUND(CONCATENATE($A15,BM$2),0),'Cadastro - Padrões'!$A$2:$T$1160,BM$1,FALSE)))</f>
        <v>-</v>
      </c>
      <c r="BN15" s="16" t="str">
        <f>IF($B15="-","-",IF(VLOOKUP(ROUND(CONCATENATE($A15,BN$2),0),'Cadastro - Padrões'!$A$2:$T$1160,BN$1,FALSE)="","-",VLOOKUP(ROUND(CONCATENATE($A15,BN$2),0),'Cadastro - Padrões'!$A$2:$T$1160,BN$1,FALSE)))</f>
        <v>-</v>
      </c>
      <c r="BO15" s="16" t="str">
        <f>IF($B15="-","-",IF(VLOOKUP(ROUND(CONCATENATE($A15,BO$2),0),'Cadastro - Padrões'!$A$2:$T$1160,BO$1,FALSE)="","-",VLOOKUP(ROUND(CONCATENATE($A15,BO$2),0),'Cadastro - Padrões'!$A$2:$T$1160,BO$1,FALSE)))</f>
        <v>-</v>
      </c>
      <c r="BP15" s="16" t="str">
        <f>IF($B15="-","-",IF(VLOOKUP(ROUND(CONCATENATE($A15,BP$2),0),'Cadastro - Padrões'!$A$2:$T$1160,BP$1,FALSE)="","-",VLOOKUP(ROUND(CONCATENATE($A15,BP$2),0),'Cadastro - Padrões'!$A$2:$T$1160,BP$1,FALSE)))</f>
        <v>-</v>
      </c>
      <c r="BQ15" s="16" t="str">
        <f>IF($B15="-","-",IF(VLOOKUP(ROUND(CONCATENATE($A15,BQ$2),0),'Cadastro - Padrões'!$A$2:$T$1160,BQ$1,FALSE)="","-",VLOOKUP(ROUND(CONCATENATE($A15,BQ$2),0),'Cadastro - Padrões'!$A$2:$T$1160,BQ$1,FALSE)))</f>
        <v>-</v>
      </c>
      <c r="BR15" s="16" t="str">
        <f>IF($B15="-","-",IF(VLOOKUP(ROUND(CONCATENATE($A15,BR$2),0),'Cadastro - Padrões'!$A$2:$T$1160,BR$1,FALSE)="","-",VLOOKUP(ROUND(CONCATENATE($A15,BR$2),0),'Cadastro - Padrões'!$A$2:$T$1160,BR$1,FALSE)))</f>
        <v>-</v>
      </c>
      <c r="BS15" s="16" t="str">
        <f>IF($B15="-","-",IF(VLOOKUP(ROUND(CONCATENATE($A15,BS$2),0),'Cadastro - Padrões'!$A$2:$T$1160,BS$1,FALSE)="","-",VLOOKUP(ROUND(CONCATENATE($A15,BS$2),0),'Cadastro - Padrões'!$A$2:$T$1160,BS$1,FALSE)))</f>
        <v>-</v>
      </c>
      <c r="BT15" s="16" t="str">
        <f>IF($B15="-","-",IF(VLOOKUP(ROUND(CONCATENATE($A15,BT$2),0),'Cadastro - Padrões'!$A$2:$T$1160,BT$1,FALSE)="","-",VLOOKUP(ROUND(CONCATENATE($A15,BT$2),0),'Cadastro - Padrões'!$A$2:$T$1160,BT$1,FALSE)))</f>
        <v>-</v>
      </c>
      <c r="BU15" s="16" t="str">
        <f>IF($B15="-","-",IF(VLOOKUP(ROUND(CONCATENATE($A15,BU$2),0),'Cadastro - Padrões'!$A$2:$T$1160,BU$1,FALSE)="","-",VLOOKUP(ROUND(CONCATENATE($A15,BU$2),0),'Cadastro - Padrões'!$A$2:$T$1160,BU$1,FALSE)))</f>
        <v>-</v>
      </c>
      <c r="BV15" s="16" t="str">
        <f>IF($B15="-","-",IF(VLOOKUP(ROUND(CONCATENATE($A15,BV$2),0),'Cadastro - Padrões'!$A$2:$T$1160,BV$1,FALSE)="","-",VLOOKUP(ROUND(CONCATENATE($A15,BV$2),0),'Cadastro - Padrões'!$A$2:$T$1160,BV$1,FALSE)))</f>
        <v>-</v>
      </c>
      <c r="BW15" s="16" t="str">
        <f>IF($B15="-","-",IF(VLOOKUP(ROUND(CONCATENATE($A15,BW$2),0),'Cadastro - Padrões'!$A$2:$T$1160,BW$1,FALSE)="","-",VLOOKUP(ROUND(CONCATENATE($A15,BW$2),0),'Cadastro - Padrões'!$A$2:$T$1160,BW$1,FALSE)))</f>
        <v>-</v>
      </c>
      <c r="BX15" s="16" t="str">
        <f>IF($B15="-","-",IF(VLOOKUP(ROUND(CONCATENATE($A15,BX$2),0),'Cadastro - Padrões'!$A$2:$T$1160,BX$1,FALSE)="","-",VLOOKUP(ROUND(CONCATENATE($A15,BX$2),0),'Cadastro - Padrões'!$A$2:$T$1160,BX$1,FALSE)))</f>
        <v>-</v>
      </c>
      <c r="BY15" s="16" t="str">
        <f>IF($B15="-","-",IF(VLOOKUP(ROUND(CONCATENATE($A15,BY$2),0),'Cadastro - Padrões'!$A$2:$T$1160,BY$1,FALSE)="","-",VLOOKUP(ROUND(CONCATENATE($A15,BY$2),0),'Cadastro - Padrões'!$A$2:$T$1160,BY$1,FALSE)))</f>
        <v>-</v>
      </c>
      <c r="BZ15" s="16" t="str">
        <f>IF($B15="-","-",IF(VLOOKUP(ROUND(CONCATENATE($A15,BZ$2),0),'Cadastro - Padrões'!$A$2:$T$1160,BZ$1,FALSE)="","-",VLOOKUP(ROUND(CONCATENATE($A15,BZ$2),0),'Cadastro - Padrões'!$A$2:$T$1160,BZ$1,FALSE)))</f>
        <v>-</v>
      </c>
      <c r="CA15" s="16" t="str">
        <f>IF($B15="-","-",IF(VLOOKUP(ROUND(CONCATENATE($A15,CA$2),0),'Cadastro - Padrões'!$A$2:$T$1160,CA$1,FALSE)="","-",VLOOKUP(ROUND(CONCATENATE($A15,CA$2),0),'Cadastro - Padrões'!$A$2:$T$1160,CA$1,FALSE)))</f>
        <v>-</v>
      </c>
      <c r="CB15" s="16" t="str">
        <f>IF($B15="-","-",IF(VLOOKUP(ROUND(CONCATENATE($A15,CB$2),0),'Cadastro - Padrões'!$A$2:$T$1160,CB$1,FALSE)="","-",VLOOKUP(ROUND(CONCATENATE($A15,CB$2),0),'Cadastro - Padrões'!$A$2:$T$1160,CB$1,FALSE)))</f>
        <v>-</v>
      </c>
      <c r="CC15" s="16" t="str">
        <f>IF($B15="-","-",IF(VLOOKUP(ROUND(CONCATENATE($A15,CC$2),0),'Cadastro - Padrões'!$A$2:$T$1160,CC$1,FALSE)="","-",VLOOKUP(ROUND(CONCATENATE($A15,CC$2),0),'Cadastro - Padrões'!$A$2:$T$1160,CC$1,FALSE)))</f>
        <v>-</v>
      </c>
    </row>
    <row r="16" spans="1:81" x14ac:dyDescent="0.3">
      <c r="A16" s="15">
        <f t="shared" si="82"/>
        <v>11</v>
      </c>
      <c r="B16" s="16" t="str">
        <f>IF(VLOOKUP(ROUND(CONCATENATE($A16,B$2),0),'Cadastro - Padrões'!$A$2:$T$1160,B$1,FALSE)="","-",VLOOKUP(ROUND(CONCATENATE($A16,B$2),0),'Cadastro - Padrões'!$A$2:$T$1160,B$1,FALSE))</f>
        <v>E.TH.LV-002</v>
      </c>
      <c r="C16" s="16" t="str">
        <f>IF(VLOOKUP(ROUND(CONCATENATE($A16,C$2),0),'Cadastro - Padrões'!$A$2:$T$1160,C$1,FALSE)="","-",VLOOKUP(ROUND(CONCATENATE($A16,C$2),0),'Cadastro - Padrões'!$A$2:$T$1160,C$1,FALSE))</f>
        <v>Barômetro Digital</v>
      </c>
      <c r="D16" s="16" t="str">
        <f>IF($B16="-","-",VLOOKUP(ROUND(CONCATENATE($A16,D$2),0),'Cadastro - Padrões'!$A$2:$T$1160,D$1,FALSE))</f>
        <v>Elus</v>
      </c>
      <c r="E16" s="16" t="str">
        <f>IF($B16="-","-",VLOOKUP(ROUND(CONCATENATE($A16,E$2),0),'Cadastro - Padrões'!$A$2:$T$1160,E$1,FALSE))</f>
        <v>RBC - CAL 0439</v>
      </c>
      <c r="F16" s="16" t="str">
        <f>IF($B16="-","-",VLOOKUP(ROUND(CONCATENATE($A16,F$2),0),'Cadastro - Padrões'!$A$2:$T$1160,F$1,FALSE))</f>
        <v>E0400B/25</v>
      </c>
      <c r="G16" s="17">
        <f>IF($B16="-","-",VLOOKUP(ROUND(CONCATENATE($A16,G$2),0),'Cadastro - Padrões'!$A$2:$T$1160,G$1,FALSE))</f>
        <v>45822</v>
      </c>
      <c r="H16" s="18">
        <f>IF($B16="-","-",VLOOKUP(ROUND(CONCATENATE($A16,H$2),0),'Cadastro - Padrões'!$A$2:$T$1160,H$1,FALSE))</f>
        <v>46203</v>
      </c>
      <c r="I16" s="16" t="str">
        <f>IF($B16="-","-",VLOOKUP(ROUND(CONCATENATE($A16,I$2),0),'Cadastro - Padrões'!$A$2:$T$1160,I$1,FALSE))</f>
        <v>hPa</v>
      </c>
      <c r="J16" s="16">
        <f>IF($B16="-","-",VLOOKUP(ROUND(CONCATENATE($A16,J$2),0),'Cadastro - Padrões'!$A$2:$T$1160,J$1,FALSE))</f>
        <v>909.77</v>
      </c>
      <c r="K16" s="16">
        <f>IF($B16="-","-",VLOOKUP(ROUND(CONCATENATE($A16,K$2),0),'Cadastro - Padrões'!$A$2:$T$1160,K$1,FALSE))</f>
        <v>949.75</v>
      </c>
      <c r="L16" s="16">
        <f>IF($B16="-","-",VLOOKUP(ROUND(CONCATENATE($A16,L$2),0),'Cadastro - Padrões'!$A$2:$T$1160,L$1,FALSE))</f>
        <v>0.1</v>
      </c>
      <c r="M16" s="19">
        <f>IF($B16="-","-",VLOOKUP(ROUND(CONCATENATE($A16,M$2),0),'Cadastro - Padrões'!$A$2:$T$1160,M$1,FALSE))</f>
        <v>0.25</v>
      </c>
      <c r="N16" s="16">
        <f>IF($B16="-","-",VLOOKUP(ROUND(CONCATENATE($A16,N$2),0),'Cadastro - Padrões'!$A$2:$T$1160,N$1,FALSE))</f>
        <v>0.12</v>
      </c>
      <c r="O16" s="19">
        <f>IF($B16="-","-",VLOOKUP(ROUND(CONCATENATE($A16,O$2),0),'Cadastro - Padrões'!$A$2:$T$1160,O$1,FALSE))</f>
        <v>0.25</v>
      </c>
      <c r="P16" s="16">
        <f ca="1">IF($B16="-","-",VLOOKUP(ROUND(CONCATENATE($A16,P$2),0),'Cadastro - Padrões'!$A$2:$T$1160,P$1,FALSE))</f>
        <v>0</v>
      </c>
      <c r="Q16" s="16">
        <f>IF($B16="-","-",VLOOKUP(ROUND(CONCATENATE($A16,Q$2),0),'Cadastro - Padrões'!$A$2:$T$1160,Q$1,FALSE))</f>
        <v>1</v>
      </c>
      <c r="R16" s="16">
        <f>IF($B16="-","-",VLOOKUP(ROUND(CONCATENATE($A16,R$2),0),'Cadastro - Padrões'!$A$2:$T$1160,R$1,FALSE))</f>
        <v>0</v>
      </c>
      <c r="S16" s="16">
        <f>IF($B16="-","-",VLOOKUP(ROUND(CONCATENATE($A16,S$2),0),'Cadastro - Padrões'!$A$2:$T$1160,S$1,FALSE))</f>
        <v>0</v>
      </c>
      <c r="T16" s="16">
        <f>IF($B16="-","-",VLOOKUP(ROUND(CONCATENATE($A16,T$2),0),'Cadastro - Padrões'!$A$2:$T$1160,T$1,FALSE))</f>
        <v>0.9995000000000005</v>
      </c>
      <c r="U16" s="16">
        <f>IF($B16="-","-",VLOOKUP(ROUND(CONCATENATE($A16,U$2),0),'Cadastro - Padrões'!$A$2:$T$1160,U$1,FALSE))</f>
        <v>0.22166666666623769</v>
      </c>
      <c r="V16" s="16">
        <f>IF($B16="-","-",IF(VLOOKUP(ROUND(CONCATENATE($A16,V$2),0),'Cadastro - Padrões'!$A$2:$T$1160,V$1,FALSE)="","-",VLOOKUP(ROUND(CONCATENATE($A16,V$2),0),'Cadastro - Padrões'!$A$2:$T$1160,V$1,FALSE)))</f>
        <v>909.77</v>
      </c>
      <c r="W16" s="16">
        <f>IF($B16="-","-",IF(VLOOKUP(ROUND(CONCATENATE($A16,W$2),0),'Cadastro - Padrões'!$A$2:$T$1160,W$1,FALSE)="","-",VLOOKUP(ROUND(CONCATENATE($A16,W$2),0),'Cadastro - Padrões'!$A$2:$T$1160,W$1,FALSE)))</f>
        <v>0.12</v>
      </c>
      <c r="X16" s="16">
        <f>IF($B16="-","-",IF(VLOOKUP(ROUND(CONCATENATE($A16,X$2),0),'Cadastro - Padrões'!$A$2:$T$1160,X$1,FALSE)="","-",VLOOKUP(ROUND(CONCATENATE($A16,X$2),0),'Cadastro - Padrões'!$A$2:$T$1160,X$1,FALSE)))</f>
        <v>2</v>
      </c>
      <c r="Y16" s="16">
        <f>IF($B16="-","-",IF(VLOOKUP(ROUND(CONCATENATE($A16,Y$2),0),'Cadastro - Padrões'!$A$2:$T$1160,Y$1,FALSE)="","-",VLOOKUP(ROUND(CONCATENATE($A16,Y$2),0),'Cadastro - Padrões'!$A$2:$T$1160,Y$1,FALSE)))</f>
        <v>1000000</v>
      </c>
      <c r="Z16" s="16">
        <f>IF($B16="-","-",IF(VLOOKUP(ROUND(CONCATENATE($A16,Z$2),0),'Cadastro - Padrões'!$A$2:$T$1160,Z$1,FALSE)="","-",VLOOKUP(ROUND(CONCATENATE($A16,Z$2),0),'Cadastro - Padrões'!$A$2:$T$1160,Z$1,FALSE)))</f>
        <v>929.75</v>
      </c>
      <c r="AA16" s="16">
        <f>IF($B16="-","-",IF(VLOOKUP(ROUND(CONCATENATE($A16,AA$2),0),'Cadastro - Padrões'!$A$2:$T$1160,AA$1,FALSE)="","-",VLOOKUP(ROUND(CONCATENATE($A16,AA$2),0),'Cadastro - Padrões'!$A$2:$T$1160,AA$1,FALSE)))</f>
        <v>0.12</v>
      </c>
      <c r="AB16" s="16">
        <f>IF($B16="-","-",IF(VLOOKUP(ROUND(CONCATENATE($A16,AB$2),0),'Cadastro - Padrões'!$A$2:$T$1160,AB$1,FALSE)="","-",VLOOKUP(ROUND(CONCATENATE($A16,AB$2),0),'Cadastro - Padrões'!$A$2:$T$1160,AB$1,FALSE)))</f>
        <v>2</v>
      </c>
      <c r="AC16" s="16">
        <f>IF($B16="-","-",IF(VLOOKUP(ROUND(CONCATENATE($A16,AC$2),0),'Cadastro - Padrões'!$A$2:$T$1160,AC$1,FALSE)="","-",VLOOKUP(ROUND(CONCATENATE($A16,AC$2),0),'Cadastro - Padrões'!$A$2:$T$1160,AC$1,FALSE)))</f>
        <v>1000000</v>
      </c>
      <c r="AD16" s="16">
        <f>IF($B16="-","-",IF(VLOOKUP(ROUND(CONCATENATE($A16,AD$2),0),'Cadastro - Padrões'!$A$2:$T$1160,AD$1,FALSE)="","-",VLOOKUP(ROUND(CONCATENATE($A16,AD$2),0),'Cadastro - Padrões'!$A$2:$T$1160,AD$1,FALSE)))</f>
        <v>949.75</v>
      </c>
      <c r="AE16" s="16">
        <f>IF($B16="-","-",IF(VLOOKUP(ROUND(CONCATENATE($A16,AE$2),0),'Cadastro - Padrões'!$A$2:$T$1160,AE$1,FALSE)="","-",VLOOKUP(ROUND(CONCATENATE($A16,AE$2),0),'Cadastro - Padrões'!$A$2:$T$1160,AE$1,FALSE)))</f>
        <v>0.12</v>
      </c>
      <c r="AF16" s="16">
        <f>IF($B16="-","-",IF(VLOOKUP(ROUND(CONCATENATE($A16,AF$2),0),'Cadastro - Padrões'!$A$2:$T$1160,AF$1,FALSE)="","-",VLOOKUP(ROUND(CONCATENATE($A16,AF$2),0),'Cadastro - Padrões'!$A$2:$T$1160,AF$1,FALSE)))</f>
        <v>2</v>
      </c>
      <c r="AG16" s="16">
        <f>IF($B16="-","-",IF(VLOOKUP(ROUND(CONCATENATE($A16,AG$2),0),'Cadastro - Padrões'!$A$2:$T$1160,AG$1,FALSE)="","-",VLOOKUP(ROUND(CONCATENATE($A16,AG$2),0),'Cadastro - Padrões'!$A$2:$T$1160,AG$1,FALSE)))</f>
        <v>1000000</v>
      </c>
      <c r="AH16" s="16" t="str">
        <f>IF($B16="-","-",IF(VLOOKUP(ROUND(CONCATENATE($A16,AH$2),0),'Cadastro - Padrões'!$A$2:$T$1160,AH$1,FALSE)="","-",VLOOKUP(ROUND(CONCATENATE($A16,AH$2),0),'Cadastro - Padrões'!$A$2:$T$1160,AH$1,FALSE)))</f>
        <v>-</v>
      </c>
      <c r="AI16" s="16" t="str">
        <f>IF($B16="-","-",IF(VLOOKUP(ROUND(CONCATENATE($A16,AI$2),0),'Cadastro - Padrões'!$A$2:$T$1160,AI$1,FALSE)="","-",VLOOKUP(ROUND(CONCATENATE($A16,AI$2),0),'Cadastro - Padrões'!$A$2:$T$1160,AI$1,FALSE)))</f>
        <v>-</v>
      </c>
      <c r="AJ16" s="16" t="str">
        <f>IF($B16="-","-",IF(VLOOKUP(ROUND(CONCATENATE($A16,AJ$2),0),'Cadastro - Padrões'!$A$2:$T$1160,AJ$1,FALSE)="","-",VLOOKUP(ROUND(CONCATENATE($A16,AJ$2),0),'Cadastro - Padrões'!$A$2:$T$1160,AJ$1,FALSE)))</f>
        <v>-</v>
      </c>
      <c r="AK16" s="16" t="str">
        <f>IF($B16="-","-",IF(VLOOKUP(ROUND(CONCATENATE($A16,AK$2),0),'Cadastro - Padrões'!$A$2:$T$1160,AK$1,FALSE)="","-",VLOOKUP(ROUND(CONCATENATE($A16,AK$2),0),'Cadastro - Padrões'!$A$2:$T$1160,AK$1,FALSE)))</f>
        <v>-</v>
      </c>
      <c r="AL16" s="16" t="str">
        <f>IF($B16="-","-",IF(VLOOKUP(ROUND(CONCATENATE($A16,AL$2),0),'Cadastro - Padrões'!$A$2:$T$1160,AL$1,FALSE)="","-",VLOOKUP(ROUND(CONCATENATE($A16,AL$2),0),'Cadastro - Padrões'!$A$2:$T$1160,AL$1,FALSE)))</f>
        <v>-</v>
      </c>
      <c r="AM16" s="16" t="str">
        <f>IF($B16="-","-",IF(VLOOKUP(ROUND(CONCATENATE($A16,AM$2),0),'Cadastro - Padrões'!$A$2:$T$1160,AM$1,FALSE)="","-",VLOOKUP(ROUND(CONCATENATE($A16,AM$2),0),'Cadastro - Padrões'!$A$2:$T$1160,AM$1,FALSE)))</f>
        <v>-</v>
      </c>
      <c r="AN16" s="16" t="str">
        <f>IF($B16="-","-",IF(VLOOKUP(ROUND(CONCATENATE($A16,AN$2),0),'Cadastro - Padrões'!$A$2:$T$1160,AN$1,FALSE)="","-",VLOOKUP(ROUND(CONCATENATE($A16,AN$2),0),'Cadastro - Padrões'!$A$2:$T$1160,AN$1,FALSE)))</f>
        <v>-</v>
      </c>
      <c r="AO16" s="16" t="str">
        <f>IF($B16="-","-",IF(VLOOKUP(ROUND(CONCATENATE($A16,AO$2),0),'Cadastro - Padrões'!$A$2:$T$1160,AO$1,FALSE)="","-",VLOOKUP(ROUND(CONCATENATE($A16,AO$2),0),'Cadastro - Padrões'!$A$2:$T$1160,AO$1,FALSE)))</f>
        <v>-</v>
      </c>
      <c r="AP16" s="16" t="str">
        <f>IF($B16="-","-",IF(VLOOKUP(ROUND(CONCATENATE($A16,AP$2),0),'Cadastro - Padrões'!$A$2:$T$1160,AP$1,FALSE)="","-",VLOOKUP(ROUND(CONCATENATE($A16,AP$2),0),'Cadastro - Padrões'!$A$2:$T$1160,AP$1,FALSE)))</f>
        <v>-</v>
      </c>
      <c r="AQ16" s="16" t="str">
        <f>IF($B16="-","-",IF(VLOOKUP(ROUND(CONCATENATE($A16,AQ$2),0),'Cadastro - Padrões'!$A$2:$T$1160,AQ$1,FALSE)="","-",VLOOKUP(ROUND(CONCATENATE($A16,AQ$2),0),'Cadastro - Padrões'!$A$2:$T$1160,AQ$1,FALSE)))</f>
        <v>-</v>
      </c>
      <c r="AR16" s="16" t="str">
        <f>IF($B16="-","-",IF(VLOOKUP(ROUND(CONCATENATE($A16,AR$2),0),'Cadastro - Padrões'!$A$2:$T$1160,AR$1,FALSE)="","-",VLOOKUP(ROUND(CONCATENATE($A16,AR$2),0),'Cadastro - Padrões'!$A$2:$T$1160,AR$1,FALSE)))</f>
        <v>-</v>
      </c>
      <c r="AS16" s="16" t="str">
        <f>IF($B16="-","-",IF(VLOOKUP(ROUND(CONCATENATE($A16,AS$2),0),'Cadastro - Padrões'!$A$2:$T$1160,AS$1,FALSE)="","-",VLOOKUP(ROUND(CONCATENATE($A16,AS$2),0),'Cadastro - Padrões'!$A$2:$T$1160,AS$1,FALSE)))</f>
        <v>-</v>
      </c>
      <c r="AT16" s="16" t="str">
        <f>IF($B16="-","-",IF(VLOOKUP(ROUND(CONCATENATE($A16,AT$2),0),'Cadastro - Padrões'!$A$2:$T$1160,AT$1,FALSE)="","-",VLOOKUP(ROUND(CONCATENATE($A16,AT$2),0),'Cadastro - Padrões'!$A$2:$T$1160,AT$1,FALSE)))</f>
        <v>-</v>
      </c>
      <c r="AU16" s="16" t="str">
        <f>IF($B16="-","-",IF(VLOOKUP(ROUND(CONCATENATE($A16,AU$2),0),'Cadastro - Padrões'!$A$2:$T$1160,AU$1,FALSE)="","-",VLOOKUP(ROUND(CONCATENATE($A16,AU$2),0),'Cadastro - Padrões'!$A$2:$T$1160,AU$1,FALSE)))</f>
        <v>-</v>
      </c>
      <c r="AV16" s="16" t="str">
        <f>IF($B16="-","-",IF(VLOOKUP(ROUND(CONCATENATE($A16,AV$2),0),'Cadastro - Padrões'!$A$2:$T$1160,AV$1,FALSE)="","-",VLOOKUP(ROUND(CONCATENATE($A16,AV$2),0),'Cadastro - Padrões'!$A$2:$T$1160,AV$1,FALSE)))</f>
        <v>-</v>
      </c>
      <c r="AW16" s="16" t="str">
        <f>IF($B16="-","-",IF(VLOOKUP(ROUND(CONCATENATE($A16,AW$2),0),'Cadastro - Padrões'!$A$2:$T$1160,AW$1,FALSE)="","-",VLOOKUP(ROUND(CONCATENATE($A16,AW$2),0),'Cadastro - Padrões'!$A$2:$T$1160,AW$1,FALSE)))</f>
        <v>-</v>
      </c>
      <c r="AX16" s="16" t="str">
        <f>IF($B16="-","-",IF(VLOOKUP(ROUND(CONCATENATE($A16,AX$2),0),'Cadastro - Padrões'!$A$2:$T$1160,AX$1,FALSE)="","-",VLOOKUP(ROUND(CONCATENATE($A16,AX$2),0),'Cadastro - Padrões'!$A$2:$T$1160,AX$1,FALSE)))</f>
        <v>-</v>
      </c>
      <c r="AY16" s="16" t="str">
        <f>IF($B16="-","-",IF(VLOOKUP(ROUND(CONCATENATE($A16,AY$2),0),'Cadastro - Padrões'!$A$2:$T$1160,AY$1,FALSE)="","-",VLOOKUP(ROUND(CONCATENATE($A16,AY$2),0),'Cadastro - Padrões'!$A$2:$T$1160,AY$1,FALSE)))</f>
        <v>-</v>
      </c>
      <c r="AZ16" s="16" t="str">
        <f>IF($B16="-","-",IF(VLOOKUP(ROUND(CONCATENATE($A16,AZ$2),0),'Cadastro - Padrões'!$A$2:$T$1160,AZ$1,FALSE)="","-",VLOOKUP(ROUND(CONCATENATE($A16,AZ$2),0),'Cadastro - Padrões'!$A$2:$T$1160,AZ$1,FALSE)))</f>
        <v>-</v>
      </c>
      <c r="BA16" s="16" t="str">
        <f>IF($B16="-","-",IF(VLOOKUP(ROUND(CONCATENATE($A16,BA$2),0),'Cadastro - Padrões'!$A$2:$T$1160,BA$1,FALSE)="","-",VLOOKUP(ROUND(CONCATENATE($A16,BA$2),0),'Cadastro - Padrões'!$A$2:$T$1160,BA$1,FALSE)))</f>
        <v>-</v>
      </c>
      <c r="BB16" s="16" t="str">
        <f>IF($B16="-","-",IF(VLOOKUP(ROUND(CONCATENATE($A16,BB$2),0),'Cadastro - Padrões'!$A$2:$T$1160,BB$1,FALSE)="","-",VLOOKUP(ROUND(CONCATENATE($A16,BB$2),0),'Cadastro - Padrões'!$A$2:$T$1160,BB$1,FALSE)))</f>
        <v>-</v>
      </c>
      <c r="BC16" s="16" t="str">
        <f>IF($B16="-","-",IF(VLOOKUP(ROUND(CONCATENATE($A16,BC$2),0),'Cadastro - Padrões'!$A$2:$T$1160,BC$1,FALSE)="","-",VLOOKUP(ROUND(CONCATENATE($A16,BC$2),0),'Cadastro - Padrões'!$A$2:$T$1160,BC$1,FALSE)))</f>
        <v>-</v>
      </c>
      <c r="BD16" s="16" t="str">
        <f>IF($B16="-","-",IF(VLOOKUP(ROUND(CONCATENATE($A16,BD$2),0),'Cadastro - Padrões'!$A$2:$T$1160,BD$1,FALSE)="","-",VLOOKUP(ROUND(CONCATENATE($A16,BD$2),0),'Cadastro - Padrões'!$A$2:$T$1160,BD$1,FALSE)))</f>
        <v>-</v>
      </c>
      <c r="BE16" s="16" t="str">
        <f>IF($B16="-","-",IF(VLOOKUP(ROUND(CONCATENATE($A16,BE$2),0),'Cadastro - Padrões'!$A$2:$T$1160,BE$1,FALSE)="","-",VLOOKUP(ROUND(CONCATENATE($A16,BE$2),0),'Cadastro - Padrões'!$A$2:$T$1160,BE$1,FALSE)))</f>
        <v>-</v>
      </c>
      <c r="BF16" s="16" t="str">
        <f>IF($B16="-","-",IF(VLOOKUP(ROUND(CONCATENATE($A16,BF$2),0),'Cadastro - Padrões'!$A$2:$T$1160,BF$1,FALSE)="","-",VLOOKUP(ROUND(CONCATENATE($A16,BF$2),0),'Cadastro - Padrões'!$A$2:$T$1160,BF$1,FALSE)))</f>
        <v>-</v>
      </c>
      <c r="BG16" s="16" t="str">
        <f>IF($B16="-","-",IF(VLOOKUP(ROUND(CONCATENATE($A16,BG$2),0),'Cadastro - Padrões'!$A$2:$T$1160,BG$1,FALSE)="","-",VLOOKUP(ROUND(CONCATENATE($A16,BG$2),0),'Cadastro - Padrões'!$A$2:$T$1160,BG$1,FALSE)))</f>
        <v>-</v>
      </c>
      <c r="BH16" s="16" t="str">
        <f>IF($B16="-","-",IF(VLOOKUP(ROUND(CONCATENATE($A16,BH$2),0),'Cadastro - Padrões'!$A$2:$T$1160,BH$1,FALSE)="","-",VLOOKUP(ROUND(CONCATENATE($A16,BH$2),0),'Cadastro - Padrões'!$A$2:$T$1160,BH$1,FALSE)))</f>
        <v>-</v>
      </c>
      <c r="BI16" s="16" t="str">
        <f>IF($B16="-","-",IF(VLOOKUP(ROUND(CONCATENATE($A16,BI$2),0),'Cadastro - Padrões'!$A$2:$T$1160,BI$1,FALSE)="","-",VLOOKUP(ROUND(CONCATENATE($A16,BI$2),0),'Cadastro - Padrões'!$A$2:$T$1160,BI$1,FALSE)))</f>
        <v>-</v>
      </c>
      <c r="BJ16" s="16" t="str">
        <f>IF($B16="-","-",IF(VLOOKUP(ROUND(CONCATENATE($A16,BJ$2),0),'Cadastro - Padrões'!$A$2:$T$1160,BJ$1,FALSE)="","-",VLOOKUP(ROUND(CONCATENATE($A16,BJ$2),0),'Cadastro - Padrões'!$A$2:$T$1160,BJ$1,FALSE)))</f>
        <v>-</v>
      </c>
      <c r="BK16" s="16" t="str">
        <f>IF($B16="-","-",IF(VLOOKUP(ROUND(CONCATENATE($A16,BK$2),0),'Cadastro - Padrões'!$A$2:$T$1160,BK$1,FALSE)="","-",VLOOKUP(ROUND(CONCATENATE($A16,BK$2),0),'Cadastro - Padrões'!$A$2:$T$1160,BK$1,FALSE)))</f>
        <v>-</v>
      </c>
      <c r="BL16" s="16" t="str">
        <f>IF($B16="-","-",IF(VLOOKUP(ROUND(CONCATENATE($A16,BL$2),0),'Cadastro - Padrões'!$A$2:$T$1160,BL$1,FALSE)="","-",VLOOKUP(ROUND(CONCATENATE($A16,BL$2),0),'Cadastro - Padrões'!$A$2:$T$1160,BL$1,FALSE)))</f>
        <v>-</v>
      </c>
      <c r="BM16" s="16" t="str">
        <f>IF($B16="-","-",IF(VLOOKUP(ROUND(CONCATENATE($A16,BM$2),0),'Cadastro - Padrões'!$A$2:$T$1160,BM$1,FALSE)="","-",VLOOKUP(ROUND(CONCATENATE($A16,BM$2),0),'Cadastro - Padrões'!$A$2:$T$1160,BM$1,FALSE)))</f>
        <v>-</v>
      </c>
      <c r="BN16" s="16" t="str">
        <f>IF($B16="-","-",IF(VLOOKUP(ROUND(CONCATENATE($A16,BN$2),0),'Cadastro - Padrões'!$A$2:$T$1160,BN$1,FALSE)="","-",VLOOKUP(ROUND(CONCATENATE($A16,BN$2),0),'Cadastro - Padrões'!$A$2:$T$1160,BN$1,FALSE)))</f>
        <v>-</v>
      </c>
      <c r="BO16" s="16" t="str">
        <f>IF($B16="-","-",IF(VLOOKUP(ROUND(CONCATENATE($A16,BO$2),0),'Cadastro - Padrões'!$A$2:$T$1160,BO$1,FALSE)="","-",VLOOKUP(ROUND(CONCATENATE($A16,BO$2),0),'Cadastro - Padrões'!$A$2:$T$1160,BO$1,FALSE)))</f>
        <v>-</v>
      </c>
      <c r="BP16" s="16" t="str">
        <f>IF($B16="-","-",IF(VLOOKUP(ROUND(CONCATENATE($A16,BP$2),0),'Cadastro - Padrões'!$A$2:$T$1160,BP$1,FALSE)="","-",VLOOKUP(ROUND(CONCATENATE($A16,BP$2),0),'Cadastro - Padrões'!$A$2:$T$1160,BP$1,FALSE)))</f>
        <v>-</v>
      </c>
      <c r="BQ16" s="16" t="str">
        <f>IF($B16="-","-",IF(VLOOKUP(ROUND(CONCATENATE($A16,BQ$2),0),'Cadastro - Padrões'!$A$2:$T$1160,BQ$1,FALSE)="","-",VLOOKUP(ROUND(CONCATENATE($A16,BQ$2),0),'Cadastro - Padrões'!$A$2:$T$1160,BQ$1,FALSE)))</f>
        <v>-</v>
      </c>
      <c r="BR16" s="16" t="str">
        <f>IF($B16="-","-",IF(VLOOKUP(ROUND(CONCATENATE($A16,BR$2),0),'Cadastro - Padrões'!$A$2:$T$1160,BR$1,FALSE)="","-",VLOOKUP(ROUND(CONCATENATE($A16,BR$2),0),'Cadastro - Padrões'!$A$2:$T$1160,BR$1,FALSE)))</f>
        <v>-</v>
      </c>
      <c r="BS16" s="16" t="str">
        <f>IF($B16="-","-",IF(VLOOKUP(ROUND(CONCATENATE($A16,BS$2),0),'Cadastro - Padrões'!$A$2:$T$1160,BS$1,FALSE)="","-",VLOOKUP(ROUND(CONCATENATE($A16,BS$2),0),'Cadastro - Padrões'!$A$2:$T$1160,BS$1,FALSE)))</f>
        <v>-</v>
      </c>
      <c r="BT16" s="16" t="str">
        <f>IF($B16="-","-",IF(VLOOKUP(ROUND(CONCATENATE($A16,BT$2),0),'Cadastro - Padrões'!$A$2:$T$1160,BT$1,FALSE)="","-",VLOOKUP(ROUND(CONCATENATE($A16,BT$2),0),'Cadastro - Padrões'!$A$2:$T$1160,BT$1,FALSE)))</f>
        <v>-</v>
      </c>
      <c r="BU16" s="16" t="str">
        <f>IF($B16="-","-",IF(VLOOKUP(ROUND(CONCATENATE($A16,BU$2),0),'Cadastro - Padrões'!$A$2:$T$1160,BU$1,FALSE)="","-",VLOOKUP(ROUND(CONCATENATE($A16,BU$2),0),'Cadastro - Padrões'!$A$2:$T$1160,BU$1,FALSE)))</f>
        <v>-</v>
      </c>
      <c r="BV16" s="16" t="str">
        <f>IF($B16="-","-",IF(VLOOKUP(ROUND(CONCATENATE($A16,BV$2),0),'Cadastro - Padrões'!$A$2:$T$1160,BV$1,FALSE)="","-",VLOOKUP(ROUND(CONCATENATE($A16,BV$2),0),'Cadastro - Padrões'!$A$2:$T$1160,BV$1,FALSE)))</f>
        <v>-</v>
      </c>
      <c r="BW16" s="16" t="str">
        <f>IF($B16="-","-",IF(VLOOKUP(ROUND(CONCATENATE($A16,BW$2),0),'Cadastro - Padrões'!$A$2:$T$1160,BW$1,FALSE)="","-",VLOOKUP(ROUND(CONCATENATE($A16,BW$2),0),'Cadastro - Padrões'!$A$2:$T$1160,BW$1,FALSE)))</f>
        <v>-</v>
      </c>
      <c r="BX16" s="16" t="str">
        <f>IF($B16="-","-",IF(VLOOKUP(ROUND(CONCATENATE($A16,BX$2),0),'Cadastro - Padrões'!$A$2:$T$1160,BX$1,FALSE)="","-",VLOOKUP(ROUND(CONCATENATE($A16,BX$2),0),'Cadastro - Padrões'!$A$2:$T$1160,BX$1,FALSE)))</f>
        <v>-</v>
      </c>
      <c r="BY16" s="16" t="str">
        <f>IF($B16="-","-",IF(VLOOKUP(ROUND(CONCATENATE($A16,BY$2),0),'Cadastro - Padrões'!$A$2:$T$1160,BY$1,FALSE)="","-",VLOOKUP(ROUND(CONCATENATE($A16,BY$2),0),'Cadastro - Padrões'!$A$2:$T$1160,BY$1,FALSE)))</f>
        <v>-</v>
      </c>
      <c r="BZ16" s="16" t="str">
        <f>IF($B16="-","-",IF(VLOOKUP(ROUND(CONCATENATE($A16,BZ$2),0),'Cadastro - Padrões'!$A$2:$T$1160,BZ$1,FALSE)="","-",VLOOKUP(ROUND(CONCATENATE($A16,BZ$2),0),'Cadastro - Padrões'!$A$2:$T$1160,BZ$1,FALSE)))</f>
        <v>-</v>
      </c>
      <c r="CA16" s="16" t="str">
        <f>IF($B16="-","-",IF(VLOOKUP(ROUND(CONCATENATE($A16,CA$2),0),'Cadastro - Padrões'!$A$2:$T$1160,CA$1,FALSE)="","-",VLOOKUP(ROUND(CONCATENATE($A16,CA$2),0),'Cadastro - Padrões'!$A$2:$T$1160,CA$1,FALSE)))</f>
        <v>-</v>
      </c>
      <c r="CB16" s="16" t="str">
        <f>IF($B16="-","-",IF(VLOOKUP(ROUND(CONCATENATE($A16,CB$2),0),'Cadastro - Padrões'!$A$2:$T$1160,CB$1,FALSE)="","-",VLOOKUP(ROUND(CONCATENATE($A16,CB$2),0),'Cadastro - Padrões'!$A$2:$T$1160,CB$1,FALSE)))</f>
        <v>-</v>
      </c>
      <c r="CC16" s="16" t="str">
        <f>IF($B16="-","-",IF(VLOOKUP(ROUND(CONCATENATE($A16,CC$2),0),'Cadastro - Padrões'!$A$2:$T$1160,CC$1,FALSE)="","-",VLOOKUP(ROUND(CONCATENATE($A16,CC$2),0),'Cadastro - Padrões'!$A$2:$T$1160,CC$1,FALSE)))</f>
        <v>-</v>
      </c>
    </row>
    <row r="17" spans="1:81" x14ac:dyDescent="0.3">
      <c r="A17" s="15">
        <f t="shared" si="82"/>
        <v>12</v>
      </c>
      <c r="B17" s="16" t="str">
        <f>IF(VLOOKUP(ROUND(CONCATENATE($A17,B$2),0),'Cadastro - Padrões'!$A$2:$T$1160,B$1,FALSE)="","-",VLOOKUP(ROUND(CONCATENATE($A17,B$2),0),'Cadastro - Padrões'!$A$2:$T$1160,B$1,FALSE))</f>
        <v>-</v>
      </c>
      <c r="C17" s="16" t="str">
        <f>IF(VLOOKUP(ROUND(CONCATENATE($A17,C$2),0),'Cadastro - Padrões'!$A$2:$T$1160,C$1,FALSE)="","-",VLOOKUP(ROUND(CONCATENATE($A17,C$2),0),'Cadastro - Padrões'!$A$2:$T$1160,C$1,FALSE))</f>
        <v>-</v>
      </c>
      <c r="D17" s="16" t="str">
        <f>IF($B17="-","-",VLOOKUP(ROUND(CONCATENATE($A17,D$2),0),'Cadastro - Padrões'!$A$2:$T$1160,D$1,FALSE))</f>
        <v>-</v>
      </c>
      <c r="E17" s="16" t="str">
        <f>IF($B17="-","-",VLOOKUP(ROUND(CONCATENATE($A17,E$2),0),'Cadastro - Padrões'!$A$2:$T$1160,E$1,FALSE))</f>
        <v>-</v>
      </c>
      <c r="F17" s="16" t="str">
        <f>IF($B17="-","-",VLOOKUP(ROUND(CONCATENATE($A17,F$2),0),'Cadastro - Padrões'!$A$2:$T$1160,F$1,FALSE))</f>
        <v>-</v>
      </c>
      <c r="G17" s="17" t="str">
        <f>IF($B17="-","-",VLOOKUP(ROUND(CONCATENATE($A17,G$2),0),'Cadastro - Padrões'!$A$2:$T$1160,G$1,FALSE))</f>
        <v>-</v>
      </c>
      <c r="H17" s="18" t="str">
        <f>IF($B17="-","-",VLOOKUP(ROUND(CONCATENATE($A17,H$2),0),'Cadastro - Padrões'!$A$2:$T$1160,H$1,FALSE))</f>
        <v>-</v>
      </c>
      <c r="I17" s="16" t="str">
        <f>IF($B17="-","-",VLOOKUP(ROUND(CONCATENATE($A17,I$2),0),'Cadastro - Padrões'!$A$2:$T$1160,I$1,FALSE))</f>
        <v>-</v>
      </c>
      <c r="J17" s="16" t="str">
        <f>IF($B17="-","-",VLOOKUP(ROUND(CONCATENATE($A17,J$2),0),'Cadastro - Padrões'!$A$2:$T$1160,J$1,FALSE))</f>
        <v>-</v>
      </c>
      <c r="K17" s="16" t="str">
        <f>IF($B17="-","-",VLOOKUP(ROUND(CONCATENATE($A17,K$2),0),'Cadastro - Padrões'!$A$2:$T$1160,K$1,FALSE))</f>
        <v>-</v>
      </c>
      <c r="L17" s="16" t="str">
        <f>IF($B17="-","-",VLOOKUP(ROUND(CONCATENATE($A17,L$2),0),'Cadastro - Padrões'!$A$2:$T$1160,L$1,FALSE))</f>
        <v>-</v>
      </c>
      <c r="M17" s="19" t="str">
        <f>IF($B17="-","-",VLOOKUP(ROUND(CONCATENATE($A17,M$2),0),'Cadastro - Padrões'!$A$2:$T$1160,M$1,FALSE))</f>
        <v>-</v>
      </c>
      <c r="N17" s="16" t="str">
        <f>IF($B17="-","-",VLOOKUP(ROUND(CONCATENATE($A17,N$2),0),'Cadastro - Padrões'!$A$2:$T$1160,N$1,FALSE))</f>
        <v>-</v>
      </c>
      <c r="O17" s="19" t="str">
        <f>IF($B17="-","-",VLOOKUP(ROUND(CONCATENATE($A17,O$2),0),'Cadastro - Padrões'!$A$2:$T$1160,O$1,FALSE))</f>
        <v>-</v>
      </c>
      <c r="P17" s="16" t="str">
        <f>IF($B17="-","-",VLOOKUP(ROUND(CONCATENATE($A17,P$2),0),'Cadastro - Padrões'!$A$2:$T$1160,P$1,FALSE))</f>
        <v>-</v>
      </c>
      <c r="Q17" s="16" t="str">
        <f>IF($B17="-","-",VLOOKUP(ROUND(CONCATENATE($A17,Q$2),0),'Cadastro - Padrões'!$A$2:$T$1160,Q$1,FALSE))</f>
        <v>-</v>
      </c>
      <c r="R17" s="16" t="str">
        <f>IF($B17="-","-",VLOOKUP(ROUND(CONCATENATE($A17,R$2),0),'Cadastro - Padrões'!$A$2:$T$1160,R$1,FALSE))</f>
        <v>-</v>
      </c>
      <c r="S17" s="16" t="str">
        <f>IF($B17="-","-",VLOOKUP(ROUND(CONCATENATE($A17,S$2),0),'Cadastro - Padrões'!$A$2:$T$1160,S$1,FALSE))</f>
        <v>-</v>
      </c>
      <c r="T17" s="16" t="str">
        <f>IF($B17="-","-",VLOOKUP(ROUND(CONCATENATE($A17,T$2),0),'Cadastro - Padrões'!$A$2:$T$1160,T$1,FALSE))</f>
        <v>-</v>
      </c>
      <c r="U17" s="16" t="str">
        <f>IF($B17="-","-",VLOOKUP(ROUND(CONCATENATE($A17,U$2),0),'Cadastro - Padrões'!$A$2:$T$1160,U$1,FALSE))</f>
        <v>-</v>
      </c>
      <c r="V17" s="16" t="str">
        <f>IF($B17="-","-",IF(VLOOKUP(ROUND(CONCATENATE($A17,V$2),0),'Cadastro - Padrões'!$A$2:$T$1160,V$1,FALSE)="","-",VLOOKUP(ROUND(CONCATENATE($A17,V$2),0),'Cadastro - Padrões'!$A$2:$T$1160,V$1,FALSE)))</f>
        <v>-</v>
      </c>
      <c r="W17" s="16" t="str">
        <f>IF($B17="-","-",IF(VLOOKUP(ROUND(CONCATENATE($A17,W$2),0),'Cadastro - Padrões'!$A$2:$T$1160,W$1,FALSE)="","-",VLOOKUP(ROUND(CONCATENATE($A17,W$2),0),'Cadastro - Padrões'!$A$2:$T$1160,W$1,FALSE)))</f>
        <v>-</v>
      </c>
      <c r="X17" s="16" t="str">
        <f>IF($B17="-","-",IF(VLOOKUP(ROUND(CONCATENATE($A17,X$2),0),'Cadastro - Padrões'!$A$2:$T$1160,X$1,FALSE)="","-",VLOOKUP(ROUND(CONCATENATE($A17,X$2),0),'Cadastro - Padrões'!$A$2:$T$1160,X$1,FALSE)))</f>
        <v>-</v>
      </c>
      <c r="Y17" s="16" t="str">
        <f>IF($B17="-","-",IF(VLOOKUP(ROUND(CONCATENATE($A17,Y$2),0),'Cadastro - Padrões'!$A$2:$T$1160,Y$1,FALSE)="","-",VLOOKUP(ROUND(CONCATENATE($A17,Y$2),0),'Cadastro - Padrões'!$A$2:$T$1160,Y$1,FALSE)))</f>
        <v>-</v>
      </c>
      <c r="Z17" s="16" t="str">
        <f>IF($B17="-","-",IF(VLOOKUP(ROUND(CONCATENATE($A17,Z$2),0),'Cadastro - Padrões'!$A$2:$T$1160,Z$1,FALSE)="","-",VLOOKUP(ROUND(CONCATENATE($A17,Z$2),0),'Cadastro - Padrões'!$A$2:$T$1160,Z$1,FALSE)))</f>
        <v>-</v>
      </c>
      <c r="AA17" s="16" t="str">
        <f>IF($B17="-","-",IF(VLOOKUP(ROUND(CONCATENATE($A17,AA$2),0),'Cadastro - Padrões'!$A$2:$T$1160,AA$1,FALSE)="","-",VLOOKUP(ROUND(CONCATENATE($A17,AA$2),0),'Cadastro - Padrões'!$A$2:$T$1160,AA$1,FALSE)))</f>
        <v>-</v>
      </c>
      <c r="AB17" s="16" t="str">
        <f>IF($B17="-","-",IF(VLOOKUP(ROUND(CONCATENATE($A17,AB$2),0),'Cadastro - Padrões'!$A$2:$T$1160,AB$1,FALSE)="","-",VLOOKUP(ROUND(CONCATENATE($A17,AB$2),0),'Cadastro - Padrões'!$A$2:$T$1160,AB$1,FALSE)))</f>
        <v>-</v>
      </c>
      <c r="AC17" s="16" t="str">
        <f>IF($B17="-","-",IF(VLOOKUP(ROUND(CONCATENATE($A17,AC$2),0),'Cadastro - Padrões'!$A$2:$T$1160,AC$1,FALSE)="","-",VLOOKUP(ROUND(CONCATENATE($A17,AC$2),0),'Cadastro - Padrões'!$A$2:$T$1160,AC$1,FALSE)))</f>
        <v>-</v>
      </c>
      <c r="AD17" s="16" t="str">
        <f>IF($B17="-","-",IF(VLOOKUP(ROUND(CONCATENATE($A17,AD$2),0),'Cadastro - Padrões'!$A$2:$T$1160,AD$1,FALSE)="","-",VLOOKUP(ROUND(CONCATENATE($A17,AD$2),0),'Cadastro - Padrões'!$A$2:$T$1160,AD$1,FALSE)))</f>
        <v>-</v>
      </c>
      <c r="AE17" s="16" t="str">
        <f>IF($B17="-","-",IF(VLOOKUP(ROUND(CONCATENATE($A17,AE$2),0),'Cadastro - Padrões'!$A$2:$T$1160,AE$1,FALSE)="","-",VLOOKUP(ROUND(CONCATENATE($A17,AE$2),0),'Cadastro - Padrões'!$A$2:$T$1160,AE$1,FALSE)))</f>
        <v>-</v>
      </c>
      <c r="AF17" s="16" t="str">
        <f>IF($B17="-","-",IF(VLOOKUP(ROUND(CONCATENATE($A17,AF$2),0),'Cadastro - Padrões'!$A$2:$T$1160,AF$1,FALSE)="","-",VLOOKUP(ROUND(CONCATENATE($A17,AF$2),0),'Cadastro - Padrões'!$A$2:$T$1160,AF$1,FALSE)))</f>
        <v>-</v>
      </c>
      <c r="AG17" s="16" t="str">
        <f>IF($B17="-","-",IF(VLOOKUP(ROUND(CONCATENATE($A17,AG$2),0),'Cadastro - Padrões'!$A$2:$T$1160,AG$1,FALSE)="","-",VLOOKUP(ROUND(CONCATENATE($A17,AG$2),0),'Cadastro - Padrões'!$A$2:$T$1160,AG$1,FALSE)))</f>
        <v>-</v>
      </c>
      <c r="AH17" s="16" t="str">
        <f>IF($B17="-","-",IF(VLOOKUP(ROUND(CONCATENATE($A17,AH$2),0),'Cadastro - Padrões'!$A$2:$T$1160,AH$1,FALSE)="","-",VLOOKUP(ROUND(CONCATENATE($A17,AH$2),0),'Cadastro - Padrões'!$A$2:$T$1160,AH$1,FALSE)))</f>
        <v>-</v>
      </c>
      <c r="AI17" s="16" t="str">
        <f>IF($B17="-","-",IF(VLOOKUP(ROUND(CONCATENATE($A17,AI$2),0),'Cadastro - Padrões'!$A$2:$T$1160,AI$1,FALSE)="","-",VLOOKUP(ROUND(CONCATENATE($A17,AI$2),0),'Cadastro - Padrões'!$A$2:$T$1160,AI$1,FALSE)))</f>
        <v>-</v>
      </c>
      <c r="AJ17" s="16" t="str">
        <f>IF($B17="-","-",IF(VLOOKUP(ROUND(CONCATENATE($A17,AJ$2),0),'Cadastro - Padrões'!$A$2:$T$1160,AJ$1,FALSE)="","-",VLOOKUP(ROUND(CONCATENATE($A17,AJ$2),0),'Cadastro - Padrões'!$A$2:$T$1160,AJ$1,FALSE)))</f>
        <v>-</v>
      </c>
      <c r="AK17" s="16" t="str">
        <f>IF($B17="-","-",IF(VLOOKUP(ROUND(CONCATENATE($A17,AK$2),0),'Cadastro - Padrões'!$A$2:$T$1160,AK$1,FALSE)="","-",VLOOKUP(ROUND(CONCATENATE($A17,AK$2),0),'Cadastro - Padrões'!$A$2:$T$1160,AK$1,FALSE)))</f>
        <v>-</v>
      </c>
      <c r="AL17" s="16" t="str">
        <f>IF($B17="-","-",IF(VLOOKUP(ROUND(CONCATENATE($A17,AL$2),0),'Cadastro - Padrões'!$A$2:$T$1160,AL$1,FALSE)="","-",VLOOKUP(ROUND(CONCATENATE($A17,AL$2),0),'Cadastro - Padrões'!$A$2:$T$1160,AL$1,FALSE)))</f>
        <v>-</v>
      </c>
      <c r="AM17" s="16" t="str">
        <f>IF($B17="-","-",IF(VLOOKUP(ROUND(CONCATENATE($A17,AM$2),0),'Cadastro - Padrões'!$A$2:$T$1160,AM$1,FALSE)="","-",VLOOKUP(ROUND(CONCATENATE($A17,AM$2),0),'Cadastro - Padrões'!$A$2:$T$1160,AM$1,FALSE)))</f>
        <v>-</v>
      </c>
      <c r="AN17" s="16" t="str">
        <f>IF($B17="-","-",IF(VLOOKUP(ROUND(CONCATENATE($A17,AN$2),0),'Cadastro - Padrões'!$A$2:$T$1160,AN$1,FALSE)="","-",VLOOKUP(ROUND(CONCATENATE($A17,AN$2),0),'Cadastro - Padrões'!$A$2:$T$1160,AN$1,FALSE)))</f>
        <v>-</v>
      </c>
      <c r="AO17" s="16" t="str">
        <f>IF($B17="-","-",IF(VLOOKUP(ROUND(CONCATENATE($A17,AO$2),0),'Cadastro - Padrões'!$A$2:$T$1160,AO$1,FALSE)="","-",VLOOKUP(ROUND(CONCATENATE($A17,AO$2),0),'Cadastro - Padrões'!$A$2:$T$1160,AO$1,FALSE)))</f>
        <v>-</v>
      </c>
      <c r="AP17" s="16" t="str">
        <f>IF($B17="-","-",IF(VLOOKUP(ROUND(CONCATENATE($A17,AP$2),0),'Cadastro - Padrões'!$A$2:$T$1160,AP$1,FALSE)="","-",VLOOKUP(ROUND(CONCATENATE($A17,AP$2),0),'Cadastro - Padrões'!$A$2:$T$1160,AP$1,FALSE)))</f>
        <v>-</v>
      </c>
      <c r="AQ17" s="16" t="str">
        <f>IF($B17="-","-",IF(VLOOKUP(ROUND(CONCATENATE($A17,AQ$2),0),'Cadastro - Padrões'!$A$2:$T$1160,AQ$1,FALSE)="","-",VLOOKUP(ROUND(CONCATENATE($A17,AQ$2),0),'Cadastro - Padrões'!$A$2:$T$1160,AQ$1,FALSE)))</f>
        <v>-</v>
      </c>
      <c r="AR17" s="16" t="str">
        <f>IF($B17="-","-",IF(VLOOKUP(ROUND(CONCATENATE($A17,AR$2),0),'Cadastro - Padrões'!$A$2:$T$1160,AR$1,FALSE)="","-",VLOOKUP(ROUND(CONCATENATE($A17,AR$2),0),'Cadastro - Padrões'!$A$2:$T$1160,AR$1,FALSE)))</f>
        <v>-</v>
      </c>
      <c r="AS17" s="16" t="str">
        <f>IF($B17="-","-",IF(VLOOKUP(ROUND(CONCATENATE($A17,AS$2),0),'Cadastro - Padrões'!$A$2:$T$1160,AS$1,FALSE)="","-",VLOOKUP(ROUND(CONCATENATE($A17,AS$2),0),'Cadastro - Padrões'!$A$2:$T$1160,AS$1,FALSE)))</f>
        <v>-</v>
      </c>
      <c r="AT17" s="16" t="str">
        <f>IF($B17="-","-",IF(VLOOKUP(ROUND(CONCATENATE($A17,AT$2),0),'Cadastro - Padrões'!$A$2:$T$1160,AT$1,FALSE)="","-",VLOOKUP(ROUND(CONCATENATE($A17,AT$2),0),'Cadastro - Padrões'!$A$2:$T$1160,AT$1,FALSE)))</f>
        <v>-</v>
      </c>
      <c r="AU17" s="16" t="str">
        <f>IF($B17="-","-",IF(VLOOKUP(ROUND(CONCATENATE($A17,AU$2),0),'Cadastro - Padrões'!$A$2:$T$1160,AU$1,FALSE)="","-",VLOOKUP(ROUND(CONCATENATE($A17,AU$2),0),'Cadastro - Padrões'!$A$2:$T$1160,AU$1,FALSE)))</f>
        <v>-</v>
      </c>
      <c r="AV17" s="16" t="str">
        <f>IF($B17="-","-",IF(VLOOKUP(ROUND(CONCATENATE($A17,AV$2),0),'Cadastro - Padrões'!$A$2:$T$1160,AV$1,FALSE)="","-",VLOOKUP(ROUND(CONCATENATE($A17,AV$2),0),'Cadastro - Padrões'!$A$2:$T$1160,AV$1,FALSE)))</f>
        <v>-</v>
      </c>
      <c r="AW17" s="16" t="str">
        <f>IF($B17="-","-",IF(VLOOKUP(ROUND(CONCATENATE($A17,AW$2),0),'Cadastro - Padrões'!$A$2:$T$1160,AW$1,FALSE)="","-",VLOOKUP(ROUND(CONCATENATE($A17,AW$2),0),'Cadastro - Padrões'!$A$2:$T$1160,AW$1,FALSE)))</f>
        <v>-</v>
      </c>
      <c r="AX17" s="16" t="str">
        <f>IF($B17="-","-",IF(VLOOKUP(ROUND(CONCATENATE($A17,AX$2),0),'Cadastro - Padrões'!$A$2:$T$1160,AX$1,FALSE)="","-",VLOOKUP(ROUND(CONCATENATE($A17,AX$2),0),'Cadastro - Padrões'!$A$2:$T$1160,AX$1,FALSE)))</f>
        <v>-</v>
      </c>
      <c r="AY17" s="16" t="str">
        <f>IF($B17="-","-",IF(VLOOKUP(ROUND(CONCATENATE($A17,AY$2),0),'Cadastro - Padrões'!$A$2:$T$1160,AY$1,FALSE)="","-",VLOOKUP(ROUND(CONCATENATE($A17,AY$2),0),'Cadastro - Padrões'!$A$2:$T$1160,AY$1,FALSE)))</f>
        <v>-</v>
      </c>
      <c r="AZ17" s="16" t="str">
        <f>IF($B17="-","-",IF(VLOOKUP(ROUND(CONCATENATE($A17,AZ$2),0),'Cadastro - Padrões'!$A$2:$T$1160,AZ$1,FALSE)="","-",VLOOKUP(ROUND(CONCATENATE($A17,AZ$2),0),'Cadastro - Padrões'!$A$2:$T$1160,AZ$1,FALSE)))</f>
        <v>-</v>
      </c>
      <c r="BA17" s="16" t="str">
        <f>IF($B17="-","-",IF(VLOOKUP(ROUND(CONCATENATE($A17,BA$2),0),'Cadastro - Padrões'!$A$2:$T$1160,BA$1,FALSE)="","-",VLOOKUP(ROUND(CONCATENATE($A17,BA$2),0),'Cadastro - Padrões'!$A$2:$T$1160,BA$1,FALSE)))</f>
        <v>-</v>
      </c>
      <c r="BB17" s="16" t="str">
        <f>IF($B17="-","-",IF(VLOOKUP(ROUND(CONCATENATE($A17,BB$2),0),'Cadastro - Padrões'!$A$2:$T$1160,BB$1,FALSE)="","-",VLOOKUP(ROUND(CONCATENATE($A17,BB$2),0),'Cadastro - Padrões'!$A$2:$T$1160,BB$1,FALSE)))</f>
        <v>-</v>
      </c>
      <c r="BC17" s="16" t="str">
        <f>IF($B17="-","-",IF(VLOOKUP(ROUND(CONCATENATE($A17,BC$2),0),'Cadastro - Padrões'!$A$2:$T$1160,BC$1,FALSE)="","-",VLOOKUP(ROUND(CONCATENATE($A17,BC$2),0),'Cadastro - Padrões'!$A$2:$T$1160,BC$1,FALSE)))</f>
        <v>-</v>
      </c>
      <c r="BD17" s="16" t="str">
        <f>IF($B17="-","-",IF(VLOOKUP(ROUND(CONCATENATE($A17,BD$2),0),'Cadastro - Padrões'!$A$2:$T$1160,BD$1,FALSE)="","-",VLOOKUP(ROUND(CONCATENATE($A17,BD$2),0),'Cadastro - Padrões'!$A$2:$T$1160,BD$1,FALSE)))</f>
        <v>-</v>
      </c>
      <c r="BE17" s="16" t="str">
        <f>IF($B17="-","-",IF(VLOOKUP(ROUND(CONCATENATE($A17,BE$2),0),'Cadastro - Padrões'!$A$2:$T$1160,BE$1,FALSE)="","-",VLOOKUP(ROUND(CONCATENATE($A17,BE$2),0),'Cadastro - Padrões'!$A$2:$T$1160,BE$1,FALSE)))</f>
        <v>-</v>
      </c>
      <c r="BF17" s="16" t="str">
        <f>IF($B17="-","-",IF(VLOOKUP(ROUND(CONCATENATE($A17,BF$2),0),'Cadastro - Padrões'!$A$2:$T$1160,BF$1,FALSE)="","-",VLOOKUP(ROUND(CONCATENATE($A17,BF$2),0),'Cadastro - Padrões'!$A$2:$T$1160,BF$1,FALSE)))</f>
        <v>-</v>
      </c>
      <c r="BG17" s="16" t="str">
        <f>IF($B17="-","-",IF(VLOOKUP(ROUND(CONCATENATE($A17,BG$2),0),'Cadastro - Padrões'!$A$2:$T$1160,BG$1,FALSE)="","-",VLOOKUP(ROUND(CONCATENATE($A17,BG$2),0),'Cadastro - Padrões'!$A$2:$T$1160,BG$1,FALSE)))</f>
        <v>-</v>
      </c>
      <c r="BH17" s="16" t="str">
        <f>IF($B17="-","-",IF(VLOOKUP(ROUND(CONCATENATE($A17,BH$2),0),'Cadastro - Padrões'!$A$2:$T$1160,BH$1,FALSE)="","-",VLOOKUP(ROUND(CONCATENATE($A17,BH$2),0),'Cadastro - Padrões'!$A$2:$T$1160,BH$1,FALSE)))</f>
        <v>-</v>
      </c>
      <c r="BI17" s="16" t="str">
        <f>IF($B17="-","-",IF(VLOOKUP(ROUND(CONCATENATE($A17,BI$2),0),'Cadastro - Padrões'!$A$2:$T$1160,BI$1,FALSE)="","-",VLOOKUP(ROUND(CONCATENATE($A17,BI$2),0),'Cadastro - Padrões'!$A$2:$T$1160,BI$1,FALSE)))</f>
        <v>-</v>
      </c>
      <c r="BJ17" s="16" t="str">
        <f>IF($B17="-","-",IF(VLOOKUP(ROUND(CONCATENATE($A17,BJ$2),0),'Cadastro - Padrões'!$A$2:$T$1160,BJ$1,FALSE)="","-",VLOOKUP(ROUND(CONCATENATE($A17,BJ$2),0),'Cadastro - Padrões'!$A$2:$T$1160,BJ$1,FALSE)))</f>
        <v>-</v>
      </c>
      <c r="BK17" s="16" t="str">
        <f>IF($B17="-","-",IF(VLOOKUP(ROUND(CONCATENATE($A17,BK$2),0),'Cadastro - Padrões'!$A$2:$T$1160,BK$1,FALSE)="","-",VLOOKUP(ROUND(CONCATENATE($A17,BK$2),0),'Cadastro - Padrões'!$A$2:$T$1160,BK$1,FALSE)))</f>
        <v>-</v>
      </c>
      <c r="BL17" s="16" t="str">
        <f>IF($B17="-","-",IF(VLOOKUP(ROUND(CONCATENATE($A17,BL$2),0),'Cadastro - Padrões'!$A$2:$T$1160,BL$1,FALSE)="","-",VLOOKUP(ROUND(CONCATENATE($A17,BL$2),0),'Cadastro - Padrões'!$A$2:$T$1160,BL$1,FALSE)))</f>
        <v>-</v>
      </c>
      <c r="BM17" s="16" t="str">
        <f>IF($B17="-","-",IF(VLOOKUP(ROUND(CONCATENATE($A17,BM$2),0),'Cadastro - Padrões'!$A$2:$T$1160,BM$1,FALSE)="","-",VLOOKUP(ROUND(CONCATENATE($A17,BM$2),0),'Cadastro - Padrões'!$A$2:$T$1160,BM$1,FALSE)))</f>
        <v>-</v>
      </c>
      <c r="BN17" s="16" t="str">
        <f>IF($B17="-","-",IF(VLOOKUP(ROUND(CONCATENATE($A17,BN$2),0),'Cadastro - Padrões'!$A$2:$T$1160,BN$1,FALSE)="","-",VLOOKUP(ROUND(CONCATENATE($A17,BN$2),0),'Cadastro - Padrões'!$A$2:$T$1160,BN$1,FALSE)))</f>
        <v>-</v>
      </c>
      <c r="BO17" s="16" t="str">
        <f>IF($B17="-","-",IF(VLOOKUP(ROUND(CONCATENATE($A17,BO$2),0),'Cadastro - Padrões'!$A$2:$T$1160,BO$1,FALSE)="","-",VLOOKUP(ROUND(CONCATENATE($A17,BO$2),0),'Cadastro - Padrões'!$A$2:$T$1160,BO$1,FALSE)))</f>
        <v>-</v>
      </c>
      <c r="BP17" s="16" t="str">
        <f>IF($B17="-","-",IF(VLOOKUP(ROUND(CONCATENATE($A17,BP$2),0),'Cadastro - Padrões'!$A$2:$T$1160,BP$1,FALSE)="","-",VLOOKUP(ROUND(CONCATENATE($A17,BP$2),0),'Cadastro - Padrões'!$A$2:$T$1160,BP$1,FALSE)))</f>
        <v>-</v>
      </c>
      <c r="BQ17" s="16" t="str">
        <f>IF($B17="-","-",IF(VLOOKUP(ROUND(CONCATENATE($A17,BQ$2),0),'Cadastro - Padrões'!$A$2:$T$1160,BQ$1,FALSE)="","-",VLOOKUP(ROUND(CONCATENATE($A17,BQ$2),0),'Cadastro - Padrões'!$A$2:$T$1160,BQ$1,FALSE)))</f>
        <v>-</v>
      </c>
      <c r="BR17" s="16" t="str">
        <f>IF($B17="-","-",IF(VLOOKUP(ROUND(CONCATENATE($A17,BR$2),0),'Cadastro - Padrões'!$A$2:$T$1160,BR$1,FALSE)="","-",VLOOKUP(ROUND(CONCATENATE($A17,BR$2),0),'Cadastro - Padrões'!$A$2:$T$1160,BR$1,FALSE)))</f>
        <v>-</v>
      </c>
      <c r="BS17" s="16" t="str">
        <f>IF($B17="-","-",IF(VLOOKUP(ROUND(CONCATENATE($A17,BS$2),0),'Cadastro - Padrões'!$A$2:$T$1160,BS$1,FALSE)="","-",VLOOKUP(ROUND(CONCATENATE($A17,BS$2),0),'Cadastro - Padrões'!$A$2:$T$1160,BS$1,FALSE)))</f>
        <v>-</v>
      </c>
      <c r="BT17" s="16" t="str">
        <f>IF($B17="-","-",IF(VLOOKUP(ROUND(CONCATENATE($A17,BT$2),0),'Cadastro - Padrões'!$A$2:$T$1160,BT$1,FALSE)="","-",VLOOKUP(ROUND(CONCATENATE($A17,BT$2),0),'Cadastro - Padrões'!$A$2:$T$1160,BT$1,FALSE)))</f>
        <v>-</v>
      </c>
      <c r="BU17" s="16" t="str">
        <f>IF($B17="-","-",IF(VLOOKUP(ROUND(CONCATENATE($A17,BU$2),0),'Cadastro - Padrões'!$A$2:$T$1160,BU$1,FALSE)="","-",VLOOKUP(ROUND(CONCATENATE($A17,BU$2),0),'Cadastro - Padrões'!$A$2:$T$1160,BU$1,FALSE)))</f>
        <v>-</v>
      </c>
      <c r="BV17" s="16" t="str">
        <f>IF($B17="-","-",IF(VLOOKUP(ROUND(CONCATENATE($A17,BV$2),0),'Cadastro - Padrões'!$A$2:$T$1160,BV$1,FALSE)="","-",VLOOKUP(ROUND(CONCATENATE($A17,BV$2),0),'Cadastro - Padrões'!$A$2:$T$1160,BV$1,FALSE)))</f>
        <v>-</v>
      </c>
      <c r="BW17" s="16" t="str">
        <f>IF($B17="-","-",IF(VLOOKUP(ROUND(CONCATENATE($A17,BW$2),0),'Cadastro - Padrões'!$A$2:$T$1160,BW$1,FALSE)="","-",VLOOKUP(ROUND(CONCATENATE($A17,BW$2),0),'Cadastro - Padrões'!$A$2:$T$1160,BW$1,FALSE)))</f>
        <v>-</v>
      </c>
      <c r="BX17" s="16" t="str">
        <f>IF($B17="-","-",IF(VLOOKUP(ROUND(CONCATENATE($A17,BX$2),0),'Cadastro - Padrões'!$A$2:$T$1160,BX$1,FALSE)="","-",VLOOKUP(ROUND(CONCATENATE($A17,BX$2),0),'Cadastro - Padrões'!$A$2:$T$1160,BX$1,FALSE)))</f>
        <v>-</v>
      </c>
      <c r="BY17" s="16" t="str">
        <f>IF($B17="-","-",IF(VLOOKUP(ROUND(CONCATENATE($A17,BY$2),0),'Cadastro - Padrões'!$A$2:$T$1160,BY$1,FALSE)="","-",VLOOKUP(ROUND(CONCATENATE($A17,BY$2),0),'Cadastro - Padrões'!$A$2:$T$1160,BY$1,FALSE)))</f>
        <v>-</v>
      </c>
      <c r="BZ17" s="16" t="str">
        <f>IF($B17="-","-",IF(VLOOKUP(ROUND(CONCATENATE($A17,BZ$2),0),'Cadastro - Padrões'!$A$2:$T$1160,BZ$1,FALSE)="","-",VLOOKUP(ROUND(CONCATENATE($A17,BZ$2),0),'Cadastro - Padrões'!$A$2:$T$1160,BZ$1,FALSE)))</f>
        <v>-</v>
      </c>
      <c r="CA17" s="16" t="str">
        <f>IF($B17="-","-",IF(VLOOKUP(ROUND(CONCATENATE($A17,CA$2),0),'Cadastro - Padrões'!$A$2:$T$1160,CA$1,FALSE)="","-",VLOOKUP(ROUND(CONCATENATE($A17,CA$2),0),'Cadastro - Padrões'!$A$2:$T$1160,CA$1,FALSE)))</f>
        <v>-</v>
      </c>
      <c r="CB17" s="16" t="str">
        <f>IF($B17="-","-",IF(VLOOKUP(ROUND(CONCATENATE($A17,CB$2),0),'Cadastro - Padrões'!$A$2:$T$1160,CB$1,FALSE)="","-",VLOOKUP(ROUND(CONCATENATE($A17,CB$2),0),'Cadastro - Padrões'!$A$2:$T$1160,CB$1,FALSE)))</f>
        <v>-</v>
      </c>
      <c r="CC17" s="16" t="str">
        <f>IF($B17="-","-",IF(VLOOKUP(ROUND(CONCATENATE($A17,CC$2),0),'Cadastro - Padrões'!$A$2:$T$1160,CC$1,FALSE)="","-",VLOOKUP(ROUND(CONCATENATE($A17,CC$2),0),'Cadastro - Padrões'!$A$2:$T$1160,CC$1,FALSE)))</f>
        <v>-</v>
      </c>
    </row>
    <row r="18" spans="1:81" x14ac:dyDescent="0.3">
      <c r="A18" s="15">
        <f t="shared" si="82"/>
        <v>13</v>
      </c>
      <c r="B18" s="16" t="str">
        <f>IF(VLOOKUP(ROUND(CONCATENATE($A18,B$2),0),'Cadastro - Padrões'!$A$2:$T$1160,B$1,FALSE)="","-",VLOOKUP(ROUND(CONCATENATE($A18,B$2),0),'Cadastro - Padrões'!$A$2:$T$1160,B$1,FALSE))</f>
        <v>E.PS.FS-010</v>
      </c>
      <c r="C18" s="16" t="str">
        <f>IF(VLOOKUP(ROUND(CONCATENATE($A18,C$2),0),'Cadastro - Padrões'!$A$2:$T$1160,C$1,FALSE)="","-",VLOOKUP(ROUND(CONCATENATE($A18,C$2),0),'Cadastro - Padrões'!$A$2:$T$1160,C$1,FALSE))</f>
        <v>Barômetro Digital</v>
      </c>
      <c r="D18" s="16" t="str">
        <f>IF($B18="-","-",VLOOKUP(ROUND(CONCATENATE($A18,D$2),0),'Cadastro - Padrões'!$A$2:$T$1160,D$1,FALSE))</f>
        <v>ELUS</v>
      </c>
      <c r="E18" s="16" t="str">
        <f>IF($B18="-","-",VLOOKUP(ROUND(CONCATENATE($A18,E$2),0),'Cadastro - Padrões'!$A$2:$T$1160,E$1,FALSE))</f>
        <v>RBC - CAL 0439</v>
      </c>
      <c r="F18" s="16" t="str">
        <f>IF($B18="-","-",VLOOKUP(ROUND(CONCATENATE($A18,F$2),0),'Cadastro - Padrões'!$A$2:$T$1160,F$1,FALSE))</f>
        <v>E0093/26</v>
      </c>
      <c r="G18" s="17">
        <f>IF($B18="-","-",VLOOKUP(ROUND(CONCATENATE($A18,G$2),0),'Cadastro - Padrões'!$A$2:$T$1160,G$1,FALSE))</f>
        <v>46071</v>
      </c>
      <c r="H18" s="18">
        <f>IF($B18="-","-",VLOOKUP(ROUND(CONCATENATE($A18,H$2),0),'Cadastro - Padrões'!$A$2:$T$1160,H$1,FALSE))</f>
        <v>46446</v>
      </c>
      <c r="I18" s="16" t="str">
        <f>IF($B18="-","-",VLOOKUP(ROUND(CONCATENATE($A18,I$2),0),'Cadastro - Padrões'!$A$2:$T$1160,I$1,FALSE))</f>
        <v>hPa</v>
      </c>
      <c r="J18" s="16">
        <f>IF($B18="-","-",VLOOKUP(ROUND(CONCATENATE($A18,J$2),0),'Cadastro - Padrões'!$A$2:$T$1160,J$1,FALSE))</f>
        <v>501.2</v>
      </c>
      <c r="K18" s="16">
        <f>IF($B18="-","-",VLOOKUP(ROUND(CONCATENATE($A18,K$2),0),'Cadastro - Padrões'!$A$2:$T$1160,K$1,FALSE))</f>
        <v>1099.7</v>
      </c>
      <c r="L18" s="16">
        <f>IF($B18="-","-",VLOOKUP(ROUND(CONCATENATE($A18,L$2),0),'Cadastro - Padrões'!$A$2:$T$1160,L$1,FALSE))</f>
        <v>0.1</v>
      </c>
      <c r="M18" s="19">
        <f>IF($B18="-","-",VLOOKUP(ROUND(CONCATENATE($A18,M$2),0),'Cadastro - Padrões'!$A$2:$T$1160,M$1,FALSE))</f>
        <v>0.29999999999995453</v>
      </c>
      <c r="N18" s="16">
        <f>IF($B18="-","-",VLOOKUP(ROUND(CONCATENATE($A18,N$2),0),'Cadastro - Padrões'!$A$2:$T$1160,N$1,FALSE))</f>
        <v>0.3</v>
      </c>
      <c r="O18" s="19">
        <f>IF($B18="-","-",VLOOKUP(ROUND(CONCATENATE($A18,O$2),0),'Cadastro - Padrões'!$A$2:$T$1160,O$1,FALSE))</f>
        <v>0.30000000000001137</v>
      </c>
      <c r="P18" s="16">
        <f>IF($B18="-","-",VLOOKUP(ROUND(CONCATENATE($A18,P$2),0),'Cadastro - Padrões'!$A$2:$T$1160,P$1,FALSE))</f>
        <v>5.9721876740242867E-2</v>
      </c>
      <c r="Q18" s="16">
        <f>IF($B18="-","-",VLOOKUP(ROUND(CONCATENATE($A18,Q$2),0),'Cadastro - Padrões'!$A$2:$T$1160,Q$1,FALSE))</f>
        <v>3</v>
      </c>
      <c r="R18" s="16">
        <f>IF($B18="-","-",VLOOKUP(ROUND(CONCATENATE($A18,R$2),0),'Cadastro - Padrões'!$A$2:$T$1160,R$1,FALSE))</f>
        <v>-7.947611683699974E-9</v>
      </c>
      <c r="S18" s="16">
        <f>IF($B18="-","-",VLOOKUP(ROUND(CONCATENATE($A18,S$2),0),'Cadastro - Padrões'!$A$2:$T$1160,S$1,FALSE))</f>
        <v>2.0081707130848176E-5</v>
      </c>
      <c r="T18" s="16">
        <f>IF($B18="-","-",VLOOKUP(ROUND(CONCATENATE($A18,T$2),0),'Cadastro - Padrões'!$A$2:$T$1160,T$1,FALSE))</f>
        <v>0.98314025552509976</v>
      </c>
      <c r="U18" s="16">
        <f>IF($B18="-","-",VLOOKUP(ROUND(CONCATENATE($A18,U$2),0),'Cadastro - Padrões'!$A$2:$T$1160,U$1,FALSE))</f>
        <v>4.5311683372956049</v>
      </c>
      <c r="V18" s="16">
        <f>IF($B18="-","-",IF(VLOOKUP(ROUND(CONCATENATE($A18,V$2),0),'Cadastro - Padrões'!$A$2:$T$1160,V$1,FALSE)="","-",VLOOKUP(ROUND(CONCATENATE($A18,V$2),0),'Cadastro - Padrões'!$A$2:$T$1160,V$1,FALSE)))</f>
        <v>501.2</v>
      </c>
      <c r="W18" s="16">
        <f>IF($B18="-","-",IF(VLOOKUP(ROUND(CONCATENATE($A18,W$2),0),'Cadastro - Padrões'!$A$2:$T$1160,W$1,FALSE)="","-",VLOOKUP(ROUND(CONCATENATE($A18,W$2),0),'Cadastro - Padrões'!$A$2:$T$1160,W$1,FALSE)))</f>
        <v>0.3</v>
      </c>
      <c r="X18" s="16">
        <f>IF($B18="-","-",IF(VLOOKUP(ROUND(CONCATENATE($A18,X$2),0),'Cadastro - Padrões'!$A$2:$T$1160,X$1,FALSE)="","-",VLOOKUP(ROUND(CONCATENATE($A18,X$2),0),'Cadastro - Padrões'!$A$2:$T$1160,X$1,FALSE)))</f>
        <v>2</v>
      </c>
      <c r="Y18" s="16">
        <f>IF($B18="-","-",IF(VLOOKUP(ROUND(CONCATENATE($A18,Y$2),0),'Cadastro - Padrões'!$A$2:$T$1160,Y$1,FALSE)="","-",VLOOKUP(ROUND(CONCATENATE($A18,Y$2),0),'Cadastro - Padrões'!$A$2:$T$1160,Y$1,FALSE)))</f>
        <v>1000000</v>
      </c>
      <c r="Z18" s="16">
        <f>IF($B18="-","-",IF(VLOOKUP(ROUND(CONCATENATE($A18,Z$2),0),'Cadastro - Padrões'!$A$2:$T$1160,Z$1,FALSE)="","-",VLOOKUP(ROUND(CONCATENATE($A18,Z$2),0),'Cadastro - Padrões'!$A$2:$T$1160,Z$1,FALSE)))</f>
        <v>549.9</v>
      </c>
      <c r="AA18" s="16">
        <f>IF($B18="-","-",IF(VLOOKUP(ROUND(CONCATENATE($A18,AA$2),0),'Cadastro - Padrões'!$A$2:$T$1160,AA$1,FALSE)="","-",VLOOKUP(ROUND(CONCATENATE($A18,AA$2),0),'Cadastro - Padrões'!$A$2:$T$1160,AA$1,FALSE)))</f>
        <v>0.3</v>
      </c>
      <c r="AB18" s="16">
        <f>IF($B18="-","-",IF(VLOOKUP(ROUND(CONCATENATE($A18,AB$2),0),'Cadastro - Padrões'!$A$2:$T$1160,AB$1,FALSE)="","-",VLOOKUP(ROUND(CONCATENATE($A18,AB$2),0),'Cadastro - Padrões'!$A$2:$T$1160,AB$1,FALSE)))</f>
        <v>2</v>
      </c>
      <c r="AC18" s="16">
        <f>IF($B18="-","-",IF(VLOOKUP(ROUND(CONCATENATE($A18,AC$2),0),'Cadastro - Padrões'!$A$2:$T$1160,AC$1,FALSE)="","-",VLOOKUP(ROUND(CONCATENATE($A18,AC$2),0),'Cadastro - Padrões'!$A$2:$T$1160,AC$1,FALSE)))</f>
        <v>1000000</v>
      </c>
      <c r="AD18" s="16">
        <f>IF($B18="-","-",IF(VLOOKUP(ROUND(CONCATENATE($A18,AD$2),0),'Cadastro - Padrões'!$A$2:$T$1160,AD$1,FALSE)="","-",VLOOKUP(ROUND(CONCATENATE($A18,AD$2),0),'Cadastro - Padrões'!$A$2:$T$1160,AD$1,FALSE)))</f>
        <v>599.9</v>
      </c>
      <c r="AE18" s="16">
        <f>IF($B18="-","-",IF(VLOOKUP(ROUND(CONCATENATE($A18,AE$2),0),'Cadastro - Padrões'!$A$2:$T$1160,AE$1,FALSE)="","-",VLOOKUP(ROUND(CONCATENATE($A18,AE$2),0),'Cadastro - Padrões'!$A$2:$T$1160,AE$1,FALSE)))</f>
        <v>0.3</v>
      </c>
      <c r="AF18" s="16">
        <f>IF($B18="-","-",IF(VLOOKUP(ROUND(CONCATENATE($A18,AF$2),0),'Cadastro - Padrões'!$A$2:$T$1160,AF$1,FALSE)="","-",VLOOKUP(ROUND(CONCATENATE($A18,AF$2),0),'Cadastro - Padrões'!$A$2:$T$1160,AF$1,FALSE)))</f>
        <v>2</v>
      </c>
      <c r="AG18" s="16">
        <f>IF($B18="-","-",IF(VLOOKUP(ROUND(CONCATENATE($A18,AG$2),0),'Cadastro - Padrões'!$A$2:$T$1160,AG$1,FALSE)="","-",VLOOKUP(ROUND(CONCATENATE($A18,AG$2),0),'Cadastro - Padrões'!$A$2:$T$1160,AG$1,FALSE)))</f>
        <v>1000000</v>
      </c>
      <c r="AH18" s="16">
        <f>IF($B18="-","-",IF(VLOOKUP(ROUND(CONCATENATE($A18,AH$2),0),'Cadastro - Padrões'!$A$2:$T$1160,AH$1,FALSE)="","-",VLOOKUP(ROUND(CONCATENATE($A18,AH$2),0),'Cadastro - Padrões'!$A$2:$T$1160,AH$1,FALSE)))</f>
        <v>649.9</v>
      </c>
      <c r="AI18" s="16">
        <f>IF($B18="-","-",IF(VLOOKUP(ROUND(CONCATENATE($A18,AI$2),0),'Cadastro - Padrões'!$A$2:$T$1160,AI$1,FALSE)="","-",VLOOKUP(ROUND(CONCATENATE($A18,AI$2),0),'Cadastro - Padrões'!$A$2:$T$1160,AI$1,FALSE)))</f>
        <v>0.3</v>
      </c>
      <c r="AJ18" s="16">
        <f>IF($B18="-","-",IF(VLOOKUP(ROUND(CONCATENATE($A18,AJ$2),0),'Cadastro - Padrões'!$A$2:$T$1160,AJ$1,FALSE)="","-",VLOOKUP(ROUND(CONCATENATE($A18,AJ$2),0),'Cadastro - Padrões'!$A$2:$T$1160,AJ$1,FALSE)))</f>
        <v>2</v>
      </c>
      <c r="AK18" s="16">
        <f>IF($B18="-","-",IF(VLOOKUP(ROUND(CONCATENATE($A18,AK$2),0),'Cadastro - Padrões'!$A$2:$T$1160,AK$1,FALSE)="","-",VLOOKUP(ROUND(CONCATENATE($A18,AK$2),0),'Cadastro - Padrões'!$A$2:$T$1160,AK$1,FALSE)))</f>
        <v>1000000</v>
      </c>
      <c r="AL18" s="16">
        <f>IF($B18="-","-",IF(VLOOKUP(ROUND(CONCATENATE($A18,AL$2),0),'Cadastro - Padrões'!$A$2:$T$1160,AL$1,FALSE)="","-",VLOOKUP(ROUND(CONCATENATE($A18,AL$2),0),'Cadastro - Padrões'!$A$2:$T$1160,AL$1,FALSE)))</f>
        <v>699.9</v>
      </c>
      <c r="AM18" s="16">
        <f>IF($B18="-","-",IF(VLOOKUP(ROUND(CONCATENATE($A18,AM$2),0),'Cadastro - Padrões'!$A$2:$T$1160,AM$1,FALSE)="","-",VLOOKUP(ROUND(CONCATENATE($A18,AM$2),0),'Cadastro - Padrões'!$A$2:$T$1160,AM$1,FALSE)))</f>
        <v>0.3</v>
      </c>
      <c r="AN18" s="16">
        <f>IF($B18="-","-",IF(VLOOKUP(ROUND(CONCATENATE($A18,AN$2),0),'Cadastro - Padrões'!$A$2:$T$1160,AN$1,FALSE)="","-",VLOOKUP(ROUND(CONCATENATE($A18,AN$2),0),'Cadastro - Padrões'!$A$2:$T$1160,AN$1,FALSE)))</f>
        <v>2</v>
      </c>
      <c r="AO18" s="16">
        <f>IF($B18="-","-",IF(VLOOKUP(ROUND(CONCATENATE($A18,AO$2),0),'Cadastro - Padrões'!$A$2:$T$1160,AO$1,FALSE)="","-",VLOOKUP(ROUND(CONCATENATE($A18,AO$2),0),'Cadastro - Padrões'!$A$2:$T$1160,AO$1,FALSE)))</f>
        <v>1000000</v>
      </c>
      <c r="AP18" s="16">
        <f>IF($B18="-","-",IF(VLOOKUP(ROUND(CONCATENATE($A18,AP$2),0),'Cadastro - Padrões'!$A$2:$T$1160,AP$1,FALSE)="","-",VLOOKUP(ROUND(CONCATENATE($A18,AP$2),0),'Cadastro - Padrões'!$A$2:$T$1160,AP$1,FALSE)))</f>
        <v>749.8</v>
      </c>
      <c r="AQ18" s="16">
        <f>IF($B18="-","-",IF(VLOOKUP(ROUND(CONCATENATE($A18,AQ$2),0),'Cadastro - Padrões'!$A$2:$T$1160,AQ$1,FALSE)="","-",VLOOKUP(ROUND(CONCATENATE($A18,AQ$2),0),'Cadastro - Padrões'!$A$2:$T$1160,AQ$1,FALSE)))</f>
        <v>0.3</v>
      </c>
      <c r="AR18" s="16">
        <f>IF($B18="-","-",IF(VLOOKUP(ROUND(CONCATENATE($A18,AR$2),0),'Cadastro - Padrões'!$A$2:$T$1160,AR$1,FALSE)="","-",VLOOKUP(ROUND(CONCATENATE($A18,AR$2),0),'Cadastro - Padrões'!$A$2:$T$1160,AR$1,FALSE)))</f>
        <v>2</v>
      </c>
      <c r="AS18" s="16">
        <f>IF($B18="-","-",IF(VLOOKUP(ROUND(CONCATENATE($A18,AS$2),0),'Cadastro - Padrões'!$A$2:$T$1160,AS$1,FALSE)="","-",VLOOKUP(ROUND(CONCATENATE($A18,AS$2),0),'Cadastro - Padrões'!$A$2:$T$1160,AS$1,FALSE)))</f>
        <v>1000000</v>
      </c>
      <c r="AT18" s="16">
        <f>IF($B18="-","-",IF(VLOOKUP(ROUND(CONCATENATE($A18,AT$2),0),'Cadastro - Padrões'!$A$2:$T$1160,AT$1,FALSE)="","-",VLOOKUP(ROUND(CONCATENATE($A18,AT$2),0),'Cadastro - Padrões'!$A$2:$T$1160,AT$1,FALSE)))</f>
        <v>799.9</v>
      </c>
      <c r="AU18" s="16">
        <f>IF($B18="-","-",IF(VLOOKUP(ROUND(CONCATENATE($A18,AU$2),0),'Cadastro - Padrões'!$A$2:$T$1160,AU$1,FALSE)="","-",VLOOKUP(ROUND(CONCATENATE($A18,AU$2),0),'Cadastro - Padrões'!$A$2:$T$1160,AU$1,FALSE)))</f>
        <v>0.3</v>
      </c>
      <c r="AV18" s="16">
        <f>IF($B18="-","-",IF(VLOOKUP(ROUND(CONCATENATE($A18,AV$2),0),'Cadastro - Padrões'!$A$2:$T$1160,AV$1,FALSE)="","-",VLOOKUP(ROUND(CONCATENATE($A18,AV$2),0),'Cadastro - Padrões'!$A$2:$T$1160,AV$1,FALSE)))</f>
        <v>2</v>
      </c>
      <c r="AW18" s="16">
        <f>IF($B18="-","-",IF(VLOOKUP(ROUND(CONCATENATE($A18,AW$2),0),'Cadastro - Padrões'!$A$2:$T$1160,AW$1,FALSE)="","-",VLOOKUP(ROUND(CONCATENATE($A18,AW$2),0),'Cadastro - Padrões'!$A$2:$T$1160,AW$1,FALSE)))</f>
        <v>1000000</v>
      </c>
      <c r="AX18" s="16">
        <f>IF($B18="-","-",IF(VLOOKUP(ROUND(CONCATENATE($A18,AX$2),0),'Cadastro - Padrões'!$A$2:$T$1160,AX$1,FALSE)="","-",VLOOKUP(ROUND(CONCATENATE($A18,AX$2),0),'Cadastro - Padrões'!$A$2:$T$1160,AX$1,FALSE)))</f>
        <v>849.8</v>
      </c>
      <c r="AY18" s="16">
        <f>IF($B18="-","-",IF(VLOOKUP(ROUND(CONCATENATE($A18,AY$2),0),'Cadastro - Padrões'!$A$2:$T$1160,AY$1,FALSE)="","-",VLOOKUP(ROUND(CONCATENATE($A18,AY$2),0),'Cadastro - Padrões'!$A$2:$T$1160,AY$1,FALSE)))</f>
        <v>0.3</v>
      </c>
      <c r="AZ18" s="16">
        <f>IF($B18="-","-",IF(VLOOKUP(ROUND(CONCATENATE($A18,AZ$2),0),'Cadastro - Padrões'!$A$2:$T$1160,AZ$1,FALSE)="","-",VLOOKUP(ROUND(CONCATENATE($A18,AZ$2),0),'Cadastro - Padrões'!$A$2:$T$1160,AZ$1,FALSE)))</f>
        <v>2</v>
      </c>
      <c r="BA18" s="16">
        <f>IF($B18="-","-",IF(VLOOKUP(ROUND(CONCATENATE($A18,BA$2),0),'Cadastro - Padrões'!$A$2:$T$1160,BA$1,FALSE)="","-",VLOOKUP(ROUND(CONCATENATE($A18,BA$2),0),'Cadastro - Padrões'!$A$2:$T$1160,BA$1,FALSE)))</f>
        <v>1000000</v>
      </c>
      <c r="BB18" s="16">
        <f>IF($B18="-","-",IF(VLOOKUP(ROUND(CONCATENATE($A18,BB$2),0),'Cadastro - Padrões'!$A$2:$T$1160,BB$1,FALSE)="","-",VLOOKUP(ROUND(CONCATENATE($A18,BB$2),0),'Cadastro - Padrões'!$A$2:$T$1160,BB$1,FALSE)))</f>
        <v>899.8</v>
      </c>
      <c r="BC18" s="16">
        <f>IF($B18="-","-",IF(VLOOKUP(ROUND(CONCATENATE($A18,BC$2),0),'Cadastro - Padrões'!$A$2:$T$1160,BC$1,FALSE)="","-",VLOOKUP(ROUND(CONCATENATE($A18,BC$2),0),'Cadastro - Padrões'!$A$2:$T$1160,BC$1,FALSE)))</f>
        <v>0.3</v>
      </c>
      <c r="BD18" s="16">
        <f>IF($B18="-","-",IF(VLOOKUP(ROUND(CONCATENATE($A18,BD$2),0),'Cadastro - Padrões'!$A$2:$T$1160,BD$1,FALSE)="","-",VLOOKUP(ROUND(CONCATENATE($A18,BD$2),0),'Cadastro - Padrões'!$A$2:$T$1160,BD$1,FALSE)))</f>
        <v>2</v>
      </c>
      <c r="BE18" s="16">
        <f>IF($B18="-","-",IF(VLOOKUP(ROUND(CONCATENATE($A18,BE$2),0),'Cadastro - Padrões'!$A$2:$T$1160,BE$1,FALSE)="","-",VLOOKUP(ROUND(CONCATENATE($A18,BE$2),0),'Cadastro - Padrões'!$A$2:$T$1160,BE$1,FALSE)))</f>
        <v>1000000</v>
      </c>
      <c r="BF18" s="16">
        <f>IF($B18="-","-",IF(VLOOKUP(ROUND(CONCATENATE($A18,BF$2),0),'Cadastro - Padrões'!$A$2:$T$1160,BF$1,FALSE)="","-",VLOOKUP(ROUND(CONCATENATE($A18,BF$2),0),'Cadastro - Padrões'!$A$2:$T$1160,BF$1,FALSE)))</f>
        <v>949.8</v>
      </c>
      <c r="BG18" s="16">
        <f>IF($B18="-","-",IF(VLOOKUP(ROUND(CONCATENATE($A18,BG$2),0),'Cadastro - Padrões'!$A$2:$T$1160,BG$1,FALSE)="","-",VLOOKUP(ROUND(CONCATENATE($A18,BG$2),0),'Cadastro - Padrões'!$A$2:$T$1160,BG$1,FALSE)))</f>
        <v>0.3</v>
      </c>
      <c r="BH18" s="16">
        <f>IF($B18="-","-",IF(VLOOKUP(ROUND(CONCATENATE($A18,BH$2),0),'Cadastro - Padrões'!$A$2:$T$1160,BH$1,FALSE)="","-",VLOOKUP(ROUND(CONCATENATE($A18,BH$2),0),'Cadastro - Padrões'!$A$2:$T$1160,BH$1,FALSE)))</f>
        <v>2</v>
      </c>
      <c r="BI18" s="16">
        <f>IF($B18="-","-",IF(VLOOKUP(ROUND(CONCATENATE($A18,BI$2),0),'Cadastro - Padrões'!$A$2:$T$1160,BI$1,FALSE)="","-",VLOOKUP(ROUND(CONCATENATE($A18,BI$2),0),'Cadastro - Padrões'!$A$2:$T$1160,BI$1,FALSE)))</f>
        <v>1000000</v>
      </c>
      <c r="BJ18" s="16">
        <f>IF($B18="-","-",IF(VLOOKUP(ROUND(CONCATENATE($A18,BJ$2),0),'Cadastro - Padrões'!$A$2:$T$1160,BJ$1,FALSE)="","-",VLOOKUP(ROUND(CONCATENATE($A18,BJ$2),0),'Cadastro - Padrões'!$A$2:$T$1160,BJ$1,FALSE)))</f>
        <v>999.8</v>
      </c>
      <c r="BK18" s="16">
        <f>IF($B18="-","-",IF(VLOOKUP(ROUND(CONCATENATE($A18,BK$2),0),'Cadastro - Padrões'!$A$2:$T$1160,BK$1,FALSE)="","-",VLOOKUP(ROUND(CONCATENATE($A18,BK$2),0),'Cadastro - Padrões'!$A$2:$T$1160,BK$1,FALSE)))</f>
        <v>0.3</v>
      </c>
      <c r="BL18" s="16">
        <f>IF($B18="-","-",IF(VLOOKUP(ROUND(CONCATENATE($A18,BL$2),0),'Cadastro - Padrões'!$A$2:$T$1160,BL$1,FALSE)="","-",VLOOKUP(ROUND(CONCATENATE($A18,BL$2),0),'Cadastro - Padrões'!$A$2:$T$1160,BL$1,FALSE)))</f>
        <v>2</v>
      </c>
      <c r="BM18" s="16">
        <f>IF($B18="-","-",IF(VLOOKUP(ROUND(CONCATENATE($A18,BM$2),0),'Cadastro - Padrões'!$A$2:$T$1160,BM$1,FALSE)="","-",VLOOKUP(ROUND(CONCATENATE($A18,BM$2),0),'Cadastro - Padrões'!$A$2:$T$1160,BM$1,FALSE)))</f>
        <v>1000000</v>
      </c>
      <c r="BN18" s="16">
        <f>IF($B18="-","-",IF(VLOOKUP(ROUND(CONCATENATE($A18,BN$2),0),'Cadastro - Padrões'!$A$2:$T$1160,BN$1,FALSE)="","-",VLOOKUP(ROUND(CONCATENATE($A18,BN$2),0),'Cadastro - Padrões'!$A$2:$T$1160,BN$1,FALSE)))</f>
        <v>1049.8</v>
      </c>
      <c r="BO18" s="16">
        <f>IF($B18="-","-",IF(VLOOKUP(ROUND(CONCATENATE($A18,BO$2),0),'Cadastro - Padrões'!$A$2:$T$1160,BO$1,FALSE)="","-",VLOOKUP(ROUND(CONCATENATE($A18,BO$2),0),'Cadastro - Padrões'!$A$2:$T$1160,BO$1,FALSE)))</f>
        <v>0.3</v>
      </c>
      <c r="BP18" s="16">
        <f>IF($B18="-","-",IF(VLOOKUP(ROUND(CONCATENATE($A18,BP$2),0),'Cadastro - Padrões'!$A$2:$T$1160,BP$1,FALSE)="","-",VLOOKUP(ROUND(CONCATENATE($A18,BP$2),0),'Cadastro - Padrões'!$A$2:$T$1160,BP$1,FALSE)))</f>
        <v>2</v>
      </c>
      <c r="BQ18" s="16">
        <f>IF($B18="-","-",IF(VLOOKUP(ROUND(CONCATENATE($A18,BQ$2),0),'Cadastro - Padrões'!$A$2:$T$1160,BQ$1,FALSE)="","-",VLOOKUP(ROUND(CONCATENATE($A18,BQ$2),0),'Cadastro - Padrões'!$A$2:$T$1160,BQ$1,FALSE)))</f>
        <v>1000000</v>
      </c>
      <c r="BR18" s="16">
        <f>IF($B18="-","-",IF(VLOOKUP(ROUND(CONCATENATE($A18,BR$2),0),'Cadastro - Padrões'!$A$2:$T$1160,BR$1,FALSE)="","-",VLOOKUP(ROUND(CONCATENATE($A18,BR$2),0),'Cadastro - Padrões'!$A$2:$T$1160,BR$1,FALSE)))</f>
        <v>1099.7</v>
      </c>
      <c r="BS18" s="16">
        <f>IF($B18="-","-",IF(VLOOKUP(ROUND(CONCATENATE($A18,BS$2),0),'Cadastro - Padrões'!$A$2:$T$1160,BS$1,FALSE)="","-",VLOOKUP(ROUND(CONCATENATE($A18,BS$2),0),'Cadastro - Padrões'!$A$2:$T$1160,BS$1,FALSE)))</f>
        <v>0.3</v>
      </c>
      <c r="BT18" s="16">
        <f>IF($B18="-","-",IF(VLOOKUP(ROUND(CONCATENATE($A18,BT$2),0),'Cadastro - Padrões'!$A$2:$T$1160,BT$1,FALSE)="","-",VLOOKUP(ROUND(CONCATENATE($A18,BT$2),0),'Cadastro - Padrões'!$A$2:$T$1160,BT$1,FALSE)))</f>
        <v>2</v>
      </c>
      <c r="BU18" s="16">
        <f>IF($B18="-","-",IF(VLOOKUP(ROUND(CONCATENATE($A18,BU$2),0),'Cadastro - Padrões'!$A$2:$T$1160,BU$1,FALSE)="","-",VLOOKUP(ROUND(CONCATENATE($A18,BU$2),0),'Cadastro - Padrões'!$A$2:$T$1160,BU$1,FALSE)))</f>
        <v>1000000</v>
      </c>
      <c r="BV18" s="16" t="str">
        <f>IF($B18="-","-",IF(VLOOKUP(ROUND(CONCATENATE($A18,BV$2),0),'Cadastro - Padrões'!$A$2:$T$1160,BV$1,FALSE)="","-",VLOOKUP(ROUND(CONCATENATE($A18,BV$2),0),'Cadastro - Padrões'!$A$2:$T$1160,BV$1,FALSE)))</f>
        <v>-</v>
      </c>
      <c r="BW18" s="16" t="str">
        <f>IF($B18="-","-",IF(VLOOKUP(ROUND(CONCATENATE($A18,BW$2),0),'Cadastro - Padrões'!$A$2:$T$1160,BW$1,FALSE)="","-",VLOOKUP(ROUND(CONCATENATE($A18,BW$2),0),'Cadastro - Padrões'!$A$2:$T$1160,BW$1,FALSE)))</f>
        <v>-</v>
      </c>
      <c r="BX18" s="16" t="str">
        <f>IF($B18="-","-",IF(VLOOKUP(ROUND(CONCATENATE($A18,BX$2),0),'Cadastro - Padrões'!$A$2:$T$1160,BX$1,FALSE)="","-",VLOOKUP(ROUND(CONCATENATE($A18,BX$2),0),'Cadastro - Padrões'!$A$2:$T$1160,BX$1,FALSE)))</f>
        <v>-</v>
      </c>
      <c r="BY18" s="16" t="str">
        <f>IF($B18="-","-",IF(VLOOKUP(ROUND(CONCATENATE($A18,BY$2),0),'Cadastro - Padrões'!$A$2:$T$1160,BY$1,FALSE)="","-",VLOOKUP(ROUND(CONCATENATE($A18,BY$2),0),'Cadastro - Padrões'!$A$2:$T$1160,BY$1,FALSE)))</f>
        <v>-</v>
      </c>
      <c r="BZ18" s="16" t="str">
        <f>IF($B18="-","-",IF(VLOOKUP(ROUND(CONCATENATE($A18,BZ$2),0),'Cadastro - Padrões'!$A$2:$T$1160,BZ$1,FALSE)="","-",VLOOKUP(ROUND(CONCATENATE($A18,BZ$2),0),'Cadastro - Padrões'!$A$2:$T$1160,BZ$1,FALSE)))</f>
        <v>-</v>
      </c>
      <c r="CA18" s="16" t="str">
        <f>IF($B18="-","-",IF(VLOOKUP(ROUND(CONCATENATE($A18,CA$2),0),'Cadastro - Padrões'!$A$2:$T$1160,CA$1,FALSE)="","-",VLOOKUP(ROUND(CONCATENATE($A18,CA$2),0),'Cadastro - Padrões'!$A$2:$T$1160,CA$1,FALSE)))</f>
        <v>-</v>
      </c>
      <c r="CB18" s="16" t="str">
        <f>IF($B18="-","-",IF(VLOOKUP(ROUND(CONCATENATE($A18,CB$2),0),'Cadastro - Padrões'!$A$2:$T$1160,CB$1,FALSE)="","-",VLOOKUP(ROUND(CONCATENATE($A18,CB$2),0),'Cadastro - Padrões'!$A$2:$T$1160,CB$1,FALSE)))</f>
        <v>-</v>
      </c>
      <c r="CC18" s="16" t="str">
        <f>IF($B18="-","-",IF(VLOOKUP(ROUND(CONCATENATE($A18,CC$2),0),'Cadastro - Padrões'!$A$2:$T$1160,CC$1,FALSE)="","-",VLOOKUP(ROUND(CONCATENATE($A18,CC$2),0),'Cadastro - Padrões'!$A$2:$T$1160,CC$1,FALSE)))</f>
        <v>-</v>
      </c>
    </row>
    <row r="19" spans="1:81" x14ac:dyDescent="0.3">
      <c r="A19" s="15">
        <f t="shared" si="82"/>
        <v>14</v>
      </c>
      <c r="B19" s="16" t="str">
        <f>IF(VLOOKUP(ROUND(CONCATENATE($A19,B$2),0),'Cadastro - Padrões'!$A$2:$T$1160,B$1,FALSE)="","-",VLOOKUP(ROUND(CONCATENATE($A19,B$2),0),'Cadastro - Padrões'!$A$2:$T$1160,B$1,FALSE))</f>
        <v>E.PS.FS-011</v>
      </c>
      <c r="C19" s="16" t="str">
        <f>IF(VLOOKUP(ROUND(CONCATENATE($A19,C$2),0),'Cadastro - Padrões'!$A$2:$T$1160,C$1,FALSE)="","-",VLOOKUP(ROUND(CONCATENATE($A19,C$2),0),'Cadastro - Padrões'!$A$2:$T$1160,C$1,FALSE))</f>
        <v>Barômetro Digital</v>
      </c>
      <c r="D19" s="16" t="str">
        <f>IF($B19="-","-",VLOOKUP(ROUND(CONCATENATE($A19,D$2),0),'Cadastro - Padrões'!$A$2:$T$1160,D$1,FALSE))</f>
        <v>ELUS</v>
      </c>
      <c r="E19" s="16" t="str">
        <f>IF($B19="-","-",VLOOKUP(ROUND(CONCATENATE($A19,E$2),0),'Cadastro - Padrões'!$A$2:$T$1160,E$1,FALSE))</f>
        <v>RBC - CAL 0439</v>
      </c>
      <c r="F19" s="16" t="str">
        <f>IF($B19="-","-",VLOOKUP(ROUND(CONCATENATE($A19,F$2),0),'Cadastro - Padrões'!$A$2:$T$1160,F$1,FALSE))</f>
        <v>E0091/26</v>
      </c>
      <c r="G19" s="17">
        <f>IF($B19="-","-",VLOOKUP(ROUND(CONCATENATE($A19,G$2),0),'Cadastro - Padrões'!$A$2:$T$1160,G$1,FALSE))</f>
        <v>46071</v>
      </c>
      <c r="H19" s="18">
        <f>IF($B19="-","-",VLOOKUP(ROUND(CONCATENATE($A19,H$2),0),'Cadastro - Padrões'!$A$2:$T$1160,H$1,FALSE))</f>
        <v>46446</v>
      </c>
      <c r="I19" s="16" t="str">
        <f>IF($B19="-","-",VLOOKUP(ROUND(CONCATENATE($A19,I$2),0),'Cadastro - Padrões'!$A$2:$T$1160,I$1,FALSE))</f>
        <v>hPa</v>
      </c>
      <c r="J19" s="16">
        <f>IF($B19="-","-",VLOOKUP(ROUND(CONCATENATE($A19,J$2),0),'Cadastro - Padrões'!$A$2:$T$1160,J$1,FALSE))</f>
        <v>501.4</v>
      </c>
      <c r="K19" s="16">
        <f>IF($B19="-","-",VLOOKUP(ROUND(CONCATENATE($A19,K$2),0),'Cadastro - Padrões'!$A$2:$T$1160,K$1,FALSE))</f>
        <v>1099.3</v>
      </c>
      <c r="L19" s="16">
        <f>IF($B19="-","-",VLOOKUP(ROUND(CONCATENATE($A19,L$2),0),'Cadastro - Padrões'!$A$2:$T$1160,L$1,FALSE))</f>
        <v>0.1</v>
      </c>
      <c r="M19" s="19">
        <f>IF($B19="-","-",VLOOKUP(ROUND(CONCATENATE($A19,M$2),0),'Cadastro - Padrões'!$A$2:$T$1160,M$1,FALSE))</f>
        <v>0.70000000000004547</v>
      </c>
      <c r="N19" s="16">
        <f>IF($B19="-","-",VLOOKUP(ROUND(CONCATENATE($A19,N$2),0),'Cadastro - Padrões'!$A$2:$T$1160,N$1,FALSE))</f>
        <v>0.3</v>
      </c>
      <c r="O19" s="19">
        <f>IF($B19="-","-",VLOOKUP(ROUND(CONCATENATE($A19,O$2),0),'Cadastro - Padrões'!$A$2:$T$1160,O$1,FALSE))</f>
        <v>0.60000000000013642</v>
      </c>
      <c r="P19" s="16">
        <f>IF($B19="-","-",VLOOKUP(ROUND(CONCATENATE($A19,P$2),0),'Cadastro - Padrões'!$A$2:$T$1160,P$1,FALSE))</f>
        <v>0.17511317641358584</v>
      </c>
      <c r="Q19" s="16">
        <f>IF($B19="-","-",VLOOKUP(ROUND(CONCATENATE($A19,Q$2),0),'Cadastro - Padrões'!$A$2:$T$1160,Q$1,FALSE))</f>
        <v>3</v>
      </c>
      <c r="R19" s="16">
        <f>IF($B19="-","-",VLOOKUP(ROUND(CONCATENATE($A19,R$2),0),'Cadastro - Padrões'!$A$2:$T$1160,R$1,FALSE))</f>
        <v>-2.3810866335455392E-8</v>
      </c>
      <c r="S19" s="16">
        <f>IF($B19="-","-",VLOOKUP(ROUND(CONCATENATE($A19,S$2),0),'Cadastro - Padrões'!$A$2:$T$1160,S$1,FALSE))</f>
        <v>6.0724626329553966E-5</v>
      </c>
      <c r="T19" s="16">
        <f>IF($B19="-","-",VLOOKUP(ROUND(CONCATENATE($A19,T$2),0),'Cadastro - Padrões'!$A$2:$T$1160,T$1,FALSE))</f>
        <v>0.94924982114923662</v>
      </c>
      <c r="U19" s="16">
        <f>IF($B19="-","-",VLOOKUP(ROUND(CONCATENATE($A19,U$2),0),'Cadastro - Padrões'!$A$2:$T$1160,U$1,FALSE))</f>
        <v>13.318285776228185</v>
      </c>
      <c r="V19" s="16">
        <f>IF($B19="-","-",IF(VLOOKUP(ROUND(CONCATENATE($A19,V$2),0),'Cadastro - Padrões'!$A$2:$T$1160,V$1,FALSE)="","-",VLOOKUP(ROUND(CONCATENATE($A19,V$2),0),'Cadastro - Padrões'!$A$2:$T$1160,V$1,FALSE)))</f>
        <v>501.4</v>
      </c>
      <c r="W19" s="16">
        <f>IF($B19="-","-",IF(VLOOKUP(ROUND(CONCATENATE($A19,W$2),0),'Cadastro - Padrões'!$A$2:$T$1160,W$1,FALSE)="","-",VLOOKUP(ROUND(CONCATENATE($A19,W$2),0),'Cadastro - Padrões'!$A$2:$T$1160,W$1,FALSE)))</f>
        <v>0.3</v>
      </c>
      <c r="X19" s="16">
        <f>IF($B19="-","-",IF(VLOOKUP(ROUND(CONCATENATE($A19,X$2),0),'Cadastro - Padrões'!$A$2:$T$1160,X$1,FALSE)="","-",VLOOKUP(ROUND(CONCATENATE($A19,X$2),0),'Cadastro - Padrões'!$A$2:$T$1160,X$1,FALSE)))</f>
        <v>2</v>
      </c>
      <c r="Y19" s="16">
        <f>IF($B19="-","-",IF(VLOOKUP(ROUND(CONCATENATE($A19,Y$2),0),'Cadastro - Padrões'!$A$2:$T$1160,Y$1,FALSE)="","-",VLOOKUP(ROUND(CONCATENATE($A19,Y$2),0),'Cadastro - Padrões'!$A$2:$T$1160,Y$1,FALSE)))</f>
        <v>1000000</v>
      </c>
      <c r="Z19" s="16">
        <f>IF($B19="-","-",IF(VLOOKUP(ROUND(CONCATENATE($A19,Z$2),0),'Cadastro - Padrões'!$A$2:$T$1160,Z$1,FALSE)="","-",VLOOKUP(ROUND(CONCATENATE($A19,Z$2),0),'Cadastro - Padrões'!$A$2:$T$1160,Z$1,FALSE)))</f>
        <v>549.5</v>
      </c>
      <c r="AA19" s="16">
        <f>IF($B19="-","-",IF(VLOOKUP(ROUND(CONCATENATE($A19,AA$2),0),'Cadastro - Padrões'!$A$2:$T$1160,AA$1,FALSE)="","-",VLOOKUP(ROUND(CONCATENATE($A19,AA$2),0),'Cadastro - Padrões'!$A$2:$T$1160,AA$1,FALSE)))</f>
        <v>0.3</v>
      </c>
      <c r="AB19" s="16">
        <f>IF($B19="-","-",IF(VLOOKUP(ROUND(CONCATENATE($A19,AB$2),0),'Cadastro - Padrões'!$A$2:$T$1160,AB$1,FALSE)="","-",VLOOKUP(ROUND(CONCATENATE($A19,AB$2),0),'Cadastro - Padrões'!$A$2:$T$1160,AB$1,FALSE)))</f>
        <v>2</v>
      </c>
      <c r="AC19" s="16">
        <f>IF($B19="-","-",IF(VLOOKUP(ROUND(CONCATENATE($A19,AC$2),0),'Cadastro - Padrões'!$A$2:$T$1160,AC$1,FALSE)="","-",VLOOKUP(ROUND(CONCATENATE($A19,AC$2),0),'Cadastro - Padrões'!$A$2:$T$1160,AC$1,FALSE)))</f>
        <v>1000000</v>
      </c>
      <c r="AD19" s="16">
        <f>IF($B19="-","-",IF(VLOOKUP(ROUND(CONCATENATE($A19,AD$2),0),'Cadastro - Padrões'!$A$2:$T$1160,AD$1,FALSE)="","-",VLOOKUP(ROUND(CONCATENATE($A19,AD$2),0),'Cadastro - Padrões'!$A$2:$T$1160,AD$1,FALSE)))</f>
        <v>599.4</v>
      </c>
      <c r="AE19" s="16">
        <f>IF($B19="-","-",IF(VLOOKUP(ROUND(CONCATENATE($A19,AE$2),0),'Cadastro - Padrões'!$A$2:$T$1160,AE$1,FALSE)="","-",VLOOKUP(ROUND(CONCATENATE($A19,AE$2),0),'Cadastro - Padrões'!$A$2:$T$1160,AE$1,FALSE)))</f>
        <v>0.3</v>
      </c>
      <c r="AF19" s="16">
        <f>IF($B19="-","-",IF(VLOOKUP(ROUND(CONCATENATE($A19,AF$2),0),'Cadastro - Padrões'!$A$2:$T$1160,AF$1,FALSE)="","-",VLOOKUP(ROUND(CONCATENATE($A19,AF$2),0),'Cadastro - Padrões'!$A$2:$T$1160,AF$1,FALSE)))</f>
        <v>2</v>
      </c>
      <c r="AG19" s="16">
        <f>IF($B19="-","-",IF(VLOOKUP(ROUND(CONCATENATE($A19,AG$2),0),'Cadastro - Padrões'!$A$2:$T$1160,AG$1,FALSE)="","-",VLOOKUP(ROUND(CONCATENATE($A19,AG$2),0),'Cadastro - Padrões'!$A$2:$T$1160,AG$1,FALSE)))</f>
        <v>1000000</v>
      </c>
      <c r="AH19" s="16">
        <f>IF($B19="-","-",IF(VLOOKUP(ROUND(CONCATENATE($A19,AH$2),0),'Cadastro - Padrões'!$A$2:$T$1160,AH$1,FALSE)="","-",VLOOKUP(ROUND(CONCATENATE($A19,AH$2),0),'Cadastro - Padrões'!$A$2:$T$1160,AH$1,FALSE)))</f>
        <v>649.5</v>
      </c>
      <c r="AI19" s="16">
        <f>IF($B19="-","-",IF(VLOOKUP(ROUND(CONCATENATE($A19,AI$2),0),'Cadastro - Padrões'!$A$2:$T$1160,AI$1,FALSE)="","-",VLOOKUP(ROUND(CONCATENATE($A19,AI$2),0),'Cadastro - Padrões'!$A$2:$T$1160,AI$1,FALSE)))</f>
        <v>0.3</v>
      </c>
      <c r="AJ19" s="16">
        <f>IF($B19="-","-",IF(VLOOKUP(ROUND(CONCATENATE($A19,AJ$2),0),'Cadastro - Padrões'!$A$2:$T$1160,AJ$1,FALSE)="","-",VLOOKUP(ROUND(CONCATENATE($A19,AJ$2),0),'Cadastro - Padrões'!$A$2:$T$1160,AJ$1,FALSE)))</f>
        <v>2</v>
      </c>
      <c r="AK19" s="16">
        <f>IF($B19="-","-",IF(VLOOKUP(ROUND(CONCATENATE($A19,AK$2),0),'Cadastro - Padrões'!$A$2:$T$1160,AK$1,FALSE)="","-",VLOOKUP(ROUND(CONCATENATE($A19,AK$2),0),'Cadastro - Padrões'!$A$2:$T$1160,AK$1,FALSE)))</f>
        <v>1000000</v>
      </c>
      <c r="AL19" s="16">
        <f>IF($B19="-","-",IF(VLOOKUP(ROUND(CONCATENATE($A19,AL$2),0),'Cadastro - Padrões'!$A$2:$T$1160,AL$1,FALSE)="","-",VLOOKUP(ROUND(CONCATENATE($A19,AL$2),0),'Cadastro - Padrões'!$A$2:$T$1160,AL$1,FALSE)))</f>
        <v>699.5</v>
      </c>
      <c r="AM19" s="16">
        <f>IF($B19="-","-",IF(VLOOKUP(ROUND(CONCATENATE($A19,AM$2),0),'Cadastro - Padrões'!$A$2:$T$1160,AM$1,FALSE)="","-",VLOOKUP(ROUND(CONCATENATE($A19,AM$2),0),'Cadastro - Padrões'!$A$2:$T$1160,AM$1,FALSE)))</f>
        <v>0.3</v>
      </c>
      <c r="AN19" s="16">
        <f>IF($B19="-","-",IF(VLOOKUP(ROUND(CONCATENATE($A19,AN$2),0),'Cadastro - Padrões'!$A$2:$T$1160,AN$1,FALSE)="","-",VLOOKUP(ROUND(CONCATENATE($A19,AN$2),0),'Cadastro - Padrões'!$A$2:$T$1160,AN$1,FALSE)))</f>
        <v>2</v>
      </c>
      <c r="AO19" s="16">
        <f>IF($B19="-","-",IF(VLOOKUP(ROUND(CONCATENATE($A19,AO$2),0),'Cadastro - Padrões'!$A$2:$T$1160,AO$1,FALSE)="","-",VLOOKUP(ROUND(CONCATENATE($A19,AO$2),0),'Cadastro - Padrões'!$A$2:$T$1160,AO$1,FALSE)))</f>
        <v>1000000</v>
      </c>
      <c r="AP19" s="16">
        <f>IF($B19="-","-",IF(VLOOKUP(ROUND(CONCATENATE($A19,AP$2),0),'Cadastro - Padrões'!$A$2:$T$1160,AP$1,FALSE)="","-",VLOOKUP(ROUND(CONCATENATE($A19,AP$2),0),'Cadastro - Padrões'!$A$2:$T$1160,AP$1,FALSE)))</f>
        <v>749.5</v>
      </c>
      <c r="AQ19" s="16">
        <f>IF($B19="-","-",IF(VLOOKUP(ROUND(CONCATENATE($A19,AQ$2),0),'Cadastro - Padrões'!$A$2:$T$1160,AQ$1,FALSE)="","-",VLOOKUP(ROUND(CONCATENATE($A19,AQ$2),0),'Cadastro - Padrões'!$A$2:$T$1160,AQ$1,FALSE)))</f>
        <v>0.3</v>
      </c>
      <c r="AR19" s="16">
        <f>IF($B19="-","-",IF(VLOOKUP(ROUND(CONCATENATE($A19,AR$2),0),'Cadastro - Padrões'!$A$2:$T$1160,AR$1,FALSE)="","-",VLOOKUP(ROUND(CONCATENATE($A19,AR$2),0),'Cadastro - Padrões'!$A$2:$T$1160,AR$1,FALSE)))</f>
        <v>2</v>
      </c>
      <c r="AS19" s="16">
        <f>IF($B19="-","-",IF(VLOOKUP(ROUND(CONCATENATE($A19,AS$2),0),'Cadastro - Padrões'!$A$2:$T$1160,AS$1,FALSE)="","-",VLOOKUP(ROUND(CONCATENATE($A19,AS$2),0),'Cadastro - Padrões'!$A$2:$T$1160,AS$1,FALSE)))</f>
        <v>1000000</v>
      </c>
      <c r="AT19" s="16">
        <f>IF($B19="-","-",IF(VLOOKUP(ROUND(CONCATENATE($A19,AT$2),0),'Cadastro - Padrões'!$A$2:$T$1160,AT$1,FALSE)="","-",VLOOKUP(ROUND(CONCATENATE($A19,AT$2),0),'Cadastro - Padrões'!$A$2:$T$1160,AT$1,FALSE)))</f>
        <v>799.5</v>
      </c>
      <c r="AU19" s="16">
        <f>IF($B19="-","-",IF(VLOOKUP(ROUND(CONCATENATE($A19,AU$2),0),'Cadastro - Padrões'!$A$2:$T$1160,AU$1,FALSE)="","-",VLOOKUP(ROUND(CONCATENATE($A19,AU$2),0),'Cadastro - Padrões'!$A$2:$T$1160,AU$1,FALSE)))</f>
        <v>0.3</v>
      </c>
      <c r="AV19" s="16">
        <f>IF($B19="-","-",IF(VLOOKUP(ROUND(CONCATENATE($A19,AV$2),0),'Cadastro - Padrões'!$A$2:$T$1160,AV$1,FALSE)="","-",VLOOKUP(ROUND(CONCATENATE($A19,AV$2),0),'Cadastro - Padrões'!$A$2:$T$1160,AV$1,FALSE)))</f>
        <v>2</v>
      </c>
      <c r="AW19" s="16">
        <f>IF($B19="-","-",IF(VLOOKUP(ROUND(CONCATENATE($A19,AW$2),0),'Cadastro - Padrões'!$A$2:$T$1160,AW$1,FALSE)="","-",VLOOKUP(ROUND(CONCATENATE($A19,AW$2),0),'Cadastro - Padrões'!$A$2:$T$1160,AW$1,FALSE)))</f>
        <v>1000000</v>
      </c>
      <c r="AX19" s="16">
        <f>IF($B19="-","-",IF(VLOOKUP(ROUND(CONCATENATE($A19,AX$2),0),'Cadastro - Padrões'!$A$2:$T$1160,AX$1,FALSE)="","-",VLOOKUP(ROUND(CONCATENATE($A19,AX$2),0),'Cadastro - Padrões'!$A$2:$T$1160,AX$1,FALSE)))</f>
        <v>849.4</v>
      </c>
      <c r="AY19" s="16">
        <f>IF($B19="-","-",IF(VLOOKUP(ROUND(CONCATENATE($A19,AY$2),0),'Cadastro - Padrões'!$A$2:$T$1160,AY$1,FALSE)="","-",VLOOKUP(ROUND(CONCATENATE($A19,AY$2),0),'Cadastro - Padrões'!$A$2:$T$1160,AY$1,FALSE)))</f>
        <v>0.3</v>
      </c>
      <c r="AZ19" s="16">
        <f>IF($B19="-","-",IF(VLOOKUP(ROUND(CONCATENATE($A19,AZ$2),0),'Cadastro - Padrões'!$A$2:$T$1160,AZ$1,FALSE)="","-",VLOOKUP(ROUND(CONCATENATE($A19,AZ$2),0),'Cadastro - Padrões'!$A$2:$T$1160,AZ$1,FALSE)))</f>
        <v>2</v>
      </c>
      <c r="BA19" s="16">
        <f>IF($B19="-","-",IF(VLOOKUP(ROUND(CONCATENATE($A19,BA$2),0),'Cadastro - Padrões'!$A$2:$T$1160,BA$1,FALSE)="","-",VLOOKUP(ROUND(CONCATENATE($A19,BA$2),0),'Cadastro - Padrões'!$A$2:$T$1160,BA$1,FALSE)))</f>
        <v>1000000</v>
      </c>
      <c r="BB19" s="16">
        <f>IF($B19="-","-",IF(VLOOKUP(ROUND(CONCATENATE($A19,BB$2),0),'Cadastro - Padrões'!$A$2:$T$1160,BB$1,FALSE)="","-",VLOOKUP(ROUND(CONCATENATE($A19,BB$2),0),'Cadastro - Padrões'!$A$2:$T$1160,BB$1,FALSE)))</f>
        <v>899.4</v>
      </c>
      <c r="BC19" s="16">
        <f>IF($B19="-","-",IF(VLOOKUP(ROUND(CONCATENATE($A19,BC$2),0),'Cadastro - Padrões'!$A$2:$T$1160,BC$1,FALSE)="","-",VLOOKUP(ROUND(CONCATENATE($A19,BC$2),0),'Cadastro - Padrões'!$A$2:$T$1160,BC$1,FALSE)))</f>
        <v>0.3</v>
      </c>
      <c r="BD19" s="16">
        <f>IF($B19="-","-",IF(VLOOKUP(ROUND(CONCATENATE($A19,BD$2),0),'Cadastro - Padrões'!$A$2:$T$1160,BD$1,FALSE)="","-",VLOOKUP(ROUND(CONCATENATE($A19,BD$2),0),'Cadastro - Padrões'!$A$2:$T$1160,BD$1,FALSE)))</f>
        <v>2</v>
      </c>
      <c r="BE19" s="16">
        <f>IF($B19="-","-",IF(VLOOKUP(ROUND(CONCATENATE($A19,BE$2),0),'Cadastro - Padrões'!$A$2:$T$1160,BE$1,FALSE)="","-",VLOOKUP(ROUND(CONCATENATE($A19,BE$2),0),'Cadastro - Padrões'!$A$2:$T$1160,BE$1,FALSE)))</f>
        <v>1000000</v>
      </c>
      <c r="BF19" s="16">
        <f>IF($B19="-","-",IF(VLOOKUP(ROUND(CONCATENATE($A19,BF$2),0),'Cadastro - Padrões'!$A$2:$T$1160,BF$1,FALSE)="","-",VLOOKUP(ROUND(CONCATENATE($A19,BF$2),0),'Cadastro - Padrões'!$A$2:$T$1160,BF$1,FALSE)))</f>
        <v>949.4</v>
      </c>
      <c r="BG19" s="16">
        <f>IF($B19="-","-",IF(VLOOKUP(ROUND(CONCATENATE($A19,BG$2),0),'Cadastro - Padrões'!$A$2:$T$1160,BG$1,FALSE)="","-",VLOOKUP(ROUND(CONCATENATE($A19,BG$2),0),'Cadastro - Padrões'!$A$2:$T$1160,BG$1,FALSE)))</f>
        <v>0.3</v>
      </c>
      <c r="BH19" s="16">
        <f>IF($B19="-","-",IF(VLOOKUP(ROUND(CONCATENATE($A19,BH$2),0),'Cadastro - Padrões'!$A$2:$T$1160,BH$1,FALSE)="","-",VLOOKUP(ROUND(CONCATENATE($A19,BH$2),0),'Cadastro - Padrões'!$A$2:$T$1160,BH$1,FALSE)))</f>
        <v>2</v>
      </c>
      <c r="BI19" s="16">
        <f>IF($B19="-","-",IF(VLOOKUP(ROUND(CONCATENATE($A19,BI$2),0),'Cadastro - Padrões'!$A$2:$T$1160,BI$1,FALSE)="","-",VLOOKUP(ROUND(CONCATENATE($A19,BI$2),0),'Cadastro - Padrões'!$A$2:$T$1160,BI$1,FALSE)))</f>
        <v>1000000</v>
      </c>
      <c r="BJ19" s="16">
        <f>IF($B19="-","-",IF(VLOOKUP(ROUND(CONCATENATE($A19,BJ$2),0),'Cadastro - Padrões'!$A$2:$T$1160,BJ$1,FALSE)="","-",VLOOKUP(ROUND(CONCATENATE($A19,BJ$2),0),'Cadastro - Padrões'!$A$2:$T$1160,BJ$1,FALSE)))</f>
        <v>999.4</v>
      </c>
      <c r="BK19" s="16">
        <f>IF($B19="-","-",IF(VLOOKUP(ROUND(CONCATENATE($A19,BK$2),0),'Cadastro - Padrões'!$A$2:$T$1160,BK$1,FALSE)="","-",VLOOKUP(ROUND(CONCATENATE($A19,BK$2),0),'Cadastro - Padrões'!$A$2:$T$1160,BK$1,FALSE)))</f>
        <v>0.3</v>
      </c>
      <c r="BL19" s="16">
        <f>IF($B19="-","-",IF(VLOOKUP(ROUND(CONCATENATE($A19,BL$2),0),'Cadastro - Padrões'!$A$2:$T$1160,BL$1,FALSE)="","-",VLOOKUP(ROUND(CONCATENATE($A19,BL$2),0),'Cadastro - Padrões'!$A$2:$T$1160,BL$1,FALSE)))</f>
        <v>2</v>
      </c>
      <c r="BM19" s="16">
        <f>IF($B19="-","-",IF(VLOOKUP(ROUND(CONCATENATE($A19,BM$2),0),'Cadastro - Padrões'!$A$2:$T$1160,BM$1,FALSE)="","-",VLOOKUP(ROUND(CONCATENATE($A19,BM$2),0),'Cadastro - Padrões'!$A$2:$T$1160,BM$1,FALSE)))</f>
        <v>1000000</v>
      </c>
      <c r="BN19" s="16">
        <f>IF($B19="-","-",IF(VLOOKUP(ROUND(CONCATENATE($A19,BN$2),0),'Cadastro - Padrões'!$A$2:$T$1160,BN$1,FALSE)="","-",VLOOKUP(ROUND(CONCATENATE($A19,BN$2),0),'Cadastro - Padrões'!$A$2:$T$1160,BN$1,FALSE)))</f>
        <v>1049.5</v>
      </c>
      <c r="BO19" s="16">
        <f>IF($B19="-","-",IF(VLOOKUP(ROUND(CONCATENATE($A19,BO$2),0),'Cadastro - Padrões'!$A$2:$T$1160,BO$1,FALSE)="","-",VLOOKUP(ROUND(CONCATENATE($A19,BO$2),0),'Cadastro - Padrões'!$A$2:$T$1160,BO$1,FALSE)))</f>
        <v>0.3</v>
      </c>
      <c r="BP19" s="16">
        <f>IF($B19="-","-",IF(VLOOKUP(ROUND(CONCATENATE($A19,BP$2),0),'Cadastro - Padrões'!$A$2:$T$1160,BP$1,FALSE)="","-",VLOOKUP(ROUND(CONCATENATE($A19,BP$2),0),'Cadastro - Padrões'!$A$2:$T$1160,BP$1,FALSE)))</f>
        <v>2</v>
      </c>
      <c r="BQ19" s="16">
        <f>IF($B19="-","-",IF(VLOOKUP(ROUND(CONCATENATE($A19,BQ$2),0),'Cadastro - Padrões'!$A$2:$T$1160,BQ$1,FALSE)="","-",VLOOKUP(ROUND(CONCATENATE($A19,BQ$2),0),'Cadastro - Padrões'!$A$2:$T$1160,BQ$1,FALSE)))</f>
        <v>1000000</v>
      </c>
      <c r="BR19" s="16">
        <f>IF($B19="-","-",IF(VLOOKUP(ROUND(CONCATENATE($A19,BR$2),0),'Cadastro - Padrões'!$A$2:$T$1160,BR$1,FALSE)="","-",VLOOKUP(ROUND(CONCATENATE($A19,BR$2),0),'Cadastro - Padrões'!$A$2:$T$1160,BR$1,FALSE)))</f>
        <v>1099.3</v>
      </c>
      <c r="BS19" s="16">
        <f>IF($B19="-","-",IF(VLOOKUP(ROUND(CONCATENATE($A19,BS$2),0),'Cadastro - Padrões'!$A$2:$T$1160,BS$1,FALSE)="","-",VLOOKUP(ROUND(CONCATENATE($A19,BS$2),0),'Cadastro - Padrões'!$A$2:$T$1160,BS$1,FALSE)))</f>
        <v>0.3</v>
      </c>
      <c r="BT19" s="16">
        <f>IF($B19="-","-",IF(VLOOKUP(ROUND(CONCATENATE($A19,BT$2),0),'Cadastro - Padrões'!$A$2:$T$1160,BT$1,FALSE)="","-",VLOOKUP(ROUND(CONCATENATE($A19,BT$2),0),'Cadastro - Padrões'!$A$2:$T$1160,BT$1,FALSE)))</f>
        <v>2</v>
      </c>
      <c r="BU19" s="16">
        <f>IF($B19="-","-",IF(VLOOKUP(ROUND(CONCATENATE($A19,BU$2),0),'Cadastro - Padrões'!$A$2:$T$1160,BU$1,FALSE)="","-",VLOOKUP(ROUND(CONCATENATE($A19,BU$2),0),'Cadastro - Padrões'!$A$2:$T$1160,BU$1,FALSE)))</f>
        <v>1000000</v>
      </c>
      <c r="BV19" s="16" t="str">
        <f>IF($B19="-","-",IF(VLOOKUP(ROUND(CONCATENATE($A19,BV$2),0),'Cadastro - Padrões'!$A$2:$T$1160,BV$1,FALSE)="","-",VLOOKUP(ROUND(CONCATENATE($A19,BV$2),0),'Cadastro - Padrões'!$A$2:$T$1160,BV$1,FALSE)))</f>
        <v>-</v>
      </c>
      <c r="BW19" s="16" t="str">
        <f>IF($B19="-","-",IF(VLOOKUP(ROUND(CONCATENATE($A19,BW$2),0),'Cadastro - Padrões'!$A$2:$T$1160,BW$1,FALSE)="","-",VLOOKUP(ROUND(CONCATENATE($A19,BW$2),0),'Cadastro - Padrões'!$A$2:$T$1160,BW$1,FALSE)))</f>
        <v>-</v>
      </c>
      <c r="BX19" s="16" t="str">
        <f>IF($B19="-","-",IF(VLOOKUP(ROUND(CONCATENATE($A19,BX$2),0),'Cadastro - Padrões'!$A$2:$T$1160,BX$1,FALSE)="","-",VLOOKUP(ROUND(CONCATENATE($A19,BX$2),0),'Cadastro - Padrões'!$A$2:$T$1160,BX$1,FALSE)))</f>
        <v>-</v>
      </c>
      <c r="BY19" s="16" t="str">
        <f>IF($B19="-","-",IF(VLOOKUP(ROUND(CONCATENATE($A19,BY$2),0),'Cadastro - Padrões'!$A$2:$T$1160,BY$1,FALSE)="","-",VLOOKUP(ROUND(CONCATENATE($A19,BY$2),0),'Cadastro - Padrões'!$A$2:$T$1160,BY$1,FALSE)))</f>
        <v>-</v>
      </c>
      <c r="BZ19" s="16" t="str">
        <f>IF($B19="-","-",IF(VLOOKUP(ROUND(CONCATENATE($A19,BZ$2),0),'Cadastro - Padrões'!$A$2:$T$1160,BZ$1,FALSE)="","-",VLOOKUP(ROUND(CONCATENATE($A19,BZ$2),0),'Cadastro - Padrões'!$A$2:$T$1160,BZ$1,FALSE)))</f>
        <v>-</v>
      </c>
      <c r="CA19" s="16" t="str">
        <f>IF($B19="-","-",IF(VLOOKUP(ROUND(CONCATENATE($A19,CA$2),0),'Cadastro - Padrões'!$A$2:$T$1160,CA$1,FALSE)="","-",VLOOKUP(ROUND(CONCATENATE($A19,CA$2),0),'Cadastro - Padrões'!$A$2:$T$1160,CA$1,FALSE)))</f>
        <v>-</v>
      </c>
      <c r="CB19" s="16" t="str">
        <f>IF($B19="-","-",IF(VLOOKUP(ROUND(CONCATENATE($A19,CB$2),0),'Cadastro - Padrões'!$A$2:$T$1160,CB$1,FALSE)="","-",VLOOKUP(ROUND(CONCATENATE($A19,CB$2),0),'Cadastro - Padrões'!$A$2:$T$1160,CB$1,FALSE)))</f>
        <v>-</v>
      </c>
      <c r="CC19" s="16" t="str">
        <f>IF($B19="-","-",IF(VLOOKUP(ROUND(CONCATENATE($A19,CC$2),0),'Cadastro - Padrões'!$A$2:$T$1160,CC$1,FALSE)="","-",VLOOKUP(ROUND(CONCATENATE($A19,CC$2),0),'Cadastro - Padrões'!$A$2:$T$1160,CC$1,FALSE)))</f>
        <v>-</v>
      </c>
    </row>
    <row r="20" spans="1:81" x14ac:dyDescent="0.3">
      <c r="A20" s="15">
        <f t="shared" si="82"/>
        <v>15</v>
      </c>
      <c r="B20" s="16" t="str">
        <f>IF(VLOOKUP(ROUND(CONCATENATE($A20,B$2),0),'Cadastro - Padrões'!$A$2:$T$1160,B$1,FALSE)="","-",VLOOKUP(ROUND(CONCATENATE($A20,B$2),0),'Cadastro - Padrões'!$A$2:$T$1160,B$1,FALSE))</f>
        <v>E.PS.FS-035</v>
      </c>
      <c r="C20" s="16" t="str">
        <f>IF(VLOOKUP(ROUND(CONCATENATE($A20,C$2),0),'Cadastro - Padrões'!$A$2:$T$1160,C$1,FALSE)="","-",VLOOKUP(ROUND(CONCATENATE($A20,C$2),0),'Cadastro - Padrões'!$A$2:$T$1160,C$1,FALSE))</f>
        <v>Barômetro Digital</v>
      </c>
      <c r="D20" s="16" t="str">
        <f>IF($B20="-","-",VLOOKUP(ROUND(CONCATENATE($A20,D$2),0),'Cadastro - Padrões'!$A$2:$T$1160,D$1,FALSE))</f>
        <v>ELUS</v>
      </c>
      <c r="E20" s="16" t="str">
        <f>IF($B20="-","-",VLOOKUP(ROUND(CONCATENATE($A20,E$2),0),'Cadastro - Padrões'!$A$2:$T$1160,E$1,FALSE))</f>
        <v>RBC - CAL 0439</v>
      </c>
      <c r="F20" s="16" t="str">
        <f>IF($B20="-","-",VLOOKUP(ROUND(CONCATENATE($A20,F$2),0),'Cadastro - Padrões'!$A$2:$T$1160,F$1,FALSE))</f>
        <v>E0381/25</v>
      </c>
      <c r="G20" s="17">
        <f>IF($B20="-","-",VLOOKUP(ROUND(CONCATENATE($A20,G$2),0),'Cadastro - Padrões'!$A$2:$T$1160,G$1,FALSE))</f>
        <v>45819</v>
      </c>
      <c r="H20" s="18">
        <f>IF($B20="-","-",VLOOKUP(ROUND(CONCATENATE($A20,H$2),0),'Cadastro - Padrões'!$A$2:$T$1160,H$1,FALSE))</f>
        <v>46203</v>
      </c>
      <c r="I20" s="16" t="str">
        <f>IF($B20="-","-",VLOOKUP(ROUND(CONCATENATE($A20,I$2),0),'Cadastro - Padrões'!$A$2:$T$1160,I$1,FALSE))</f>
        <v>hPa</v>
      </c>
      <c r="J20" s="16">
        <f>IF($B20="-","-",VLOOKUP(ROUND(CONCATENATE($A20,J$2),0),'Cadastro - Padrões'!$A$2:$T$1160,J$1,FALSE))</f>
        <v>500.9</v>
      </c>
      <c r="K20" s="16">
        <f>IF($B20="-","-",VLOOKUP(ROUND(CONCATENATE($A20,K$2),0),'Cadastro - Padrões'!$A$2:$T$1160,K$1,FALSE))</f>
        <v>1100</v>
      </c>
      <c r="L20" s="16">
        <f>IF($B20="-","-",VLOOKUP(ROUND(CONCATENATE($A20,L$2),0),'Cadastro - Padrões'!$A$2:$T$1160,L$1,FALSE))</f>
        <v>0.1</v>
      </c>
      <c r="M20" s="19">
        <f>IF($B20="-","-",VLOOKUP(ROUND(CONCATENATE($A20,M$2),0),'Cadastro - Padrões'!$A$2:$T$1160,M$1,FALSE))</f>
        <v>0.10000000000002274</v>
      </c>
      <c r="N20" s="16">
        <f>IF($B20="-","-",VLOOKUP(ROUND(CONCATENATE($A20,N$2),0),'Cadastro - Padrões'!$A$2:$T$1160,N$1,FALSE))</f>
        <v>0.2</v>
      </c>
      <c r="O20" s="19">
        <f>IF($B20="-","-",VLOOKUP(ROUND(CONCATENATE($A20,O$2),0),'Cadastro - Padrões'!$A$2:$T$1160,O$1,FALSE))</f>
        <v>0.10000000000002274</v>
      </c>
      <c r="P20" s="16">
        <f>IF($B20="-","-",VLOOKUP(ROUND(CONCATENATE($A20,P$2),0),'Cadastro - Padrões'!$A$2:$T$1160,P$1,FALSE))</f>
        <v>3.5786747524967438E-2</v>
      </c>
      <c r="Q20" s="16">
        <f>IF($B20="-","-",VLOOKUP(ROUND(CONCATENATE($A20,Q$2),0),'Cadastro - Padrões'!$A$2:$T$1160,Q$1,FALSE))</f>
        <v>3</v>
      </c>
      <c r="R20" s="16">
        <f>IF($B20="-","-",VLOOKUP(ROUND(CONCATENATE($A20,R$2),0),'Cadastro - Padrões'!$A$2:$T$1160,R$1,FALSE))</f>
        <v>-6.8674437114351172E-10</v>
      </c>
      <c r="S20" s="16">
        <f>IF($B20="-","-",VLOOKUP(ROUND(CONCATENATE($A20,S$2),0),'Cadastro - Padrões'!$A$2:$T$1160,S$1,FALSE))</f>
        <v>1.3269527238282232E-6</v>
      </c>
      <c r="T20" s="16">
        <f>IF($B20="-","-",VLOOKUP(ROUND(CONCATENATE($A20,T$2),0),'Cadastro - Padrões'!$A$2:$T$1160,T$1,FALSE))</f>
        <v>0.9994363335835329</v>
      </c>
      <c r="U20" s="16">
        <f>IF($B20="-","-",VLOOKUP(ROUND(CONCATENATE($A20,U$2),0),'Cadastro - Padrões'!$A$2:$T$1160,U$1,FALSE))</f>
        <v>-7.394096591486965E-2</v>
      </c>
      <c r="V20" s="16">
        <f>IF($B20="-","-",IF(VLOOKUP(ROUND(CONCATENATE($A20,V$2),0),'Cadastro - Padrões'!$A$2:$T$1160,V$1,FALSE)="","-",VLOOKUP(ROUND(CONCATENATE($A20,V$2),0),'Cadastro - Padrões'!$A$2:$T$1160,V$1,FALSE)))</f>
        <v>500.9</v>
      </c>
      <c r="W20" s="16">
        <f>IF($B20="-","-",IF(VLOOKUP(ROUND(CONCATENATE($A20,W$2),0),'Cadastro - Padrões'!$A$2:$T$1160,W$1,FALSE)="","-",VLOOKUP(ROUND(CONCATENATE($A20,W$2),0),'Cadastro - Padrões'!$A$2:$T$1160,W$1,FALSE)))</f>
        <v>0.2</v>
      </c>
      <c r="X20" s="16">
        <f>IF($B20="-","-",IF(VLOOKUP(ROUND(CONCATENATE($A20,X$2),0),'Cadastro - Padrões'!$A$2:$T$1160,X$1,FALSE)="","-",VLOOKUP(ROUND(CONCATENATE($A20,X$2),0),'Cadastro - Padrões'!$A$2:$T$1160,X$1,FALSE)))</f>
        <v>2</v>
      </c>
      <c r="Y20" s="16">
        <f>IF($B20="-","-",IF(VLOOKUP(ROUND(CONCATENATE($A20,Y$2),0),'Cadastro - Padrões'!$A$2:$T$1160,Y$1,FALSE)="","-",VLOOKUP(ROUND(CONCATENATE($A20,Y$2),0),'Cadastro - Padrões'!$A$2:$T$1160,Y$1,FALSE)))</f>
        <v>1000000</v>
      </c>
      <c r="Z20" s="16">
        <f>IF($B20="-","-",IF(VLOOKUP(ROUND(CONCATENATE($A20,Z$2),0),'Cadastro - Padrões'!$A$2:$T$1160,Z$1,FALSE)="","-",VLOOKUP(ROUND(CONCATENATE($A20,Z$2),0),'Cadastro - Padrões'!$A$2:$T$1160,Z$1,FALSE)))</f>
        <v>549.9</v>
      </c>
      <c r="AA20" s="16">
        <f>IF($B20="-","-",IF(VLOOKUP(ROUND(CONCATENATE($A20,AA$2),0),'Cadastro - Padrões'!$A$2:$T$1160,AA$1,FALSE)="","-",VLOOKUP(ROUND(CONCATENATE($A20,AA$2),0),'Cadastro - Padrões'!$A$2:$T$1160,AA$1,FALSE)))</f>
        <v>0.2</v>
      </c>
      <c r="AB20" s="16">
        <f>IF($B20="-","-",IF(VLOOKUP(ROUND(CONCATENATE($A20,AB$2),0),'Cadastro - Padrões'!$A$2:$T$1160,AB$1,FALSE)="","-",VLOOKUP(ROUND(CONCATENATE($A20,AB$2),0),'Cadastro - Padrões'!$A$2:$T$1160,AB$1,FALSE)))</f>
        <v>2</v>
      </c>
      <c r="AC20" s="16">
        <f>IF($B20="-","-",IF(VLOOKUP(ROUND(CONCATENATE($A20,AC$2),0),'Cadastro - Padrões'!$A$2:$T$1160,AC$1,FALSE)="","-",VLOOKUP(ROUND(CONCATENATE($A20,AC$2),0),'Cadastro - Padrões'!$A$2:$T$1160,AC$1,FALSE)))</f>
        <v>1000000</v>
      </c>
      <c r="AD20" s="16">
        <f>IF($B20="-","-",IF(VLOOKUP(ROUND(CONCATENATE($A20,AD$2),0),'Cadastro - Padrões'!$A$2:$T$1160,AD$1,FALSE)="","-",VLOOKUP(ROUND(CONCATENATE($A20,AD$2),0),'Cadastro - Padrões'!$A$2:$T$1160,AD$1,FALSE)))</f>
        <v>599.9</v>
      </c>
      <c r="AE20" s="16">
        <f>IF($B20="-","-",IF(VLOOKUP(ROUND(CONCATENATE($A20,AE$2),0),'Cadastro - Padrões'!$A$2:$T$1160,AE$1,FALSE)="","-",VLOOKUP(ROUND(CONCATENATE($A20,AE$2),0),'Cadastro - Padrões'!$A$2:$T$1160,AE$1,FALSE)))</f>
        <v>0.2</v>
      </c>
      <c r="AF20" s="16">
        <f>IF($B20="-","-",IF(VLOOKUP(ROUND(CONCATENATE($A20,AF$2),0),'Cadastro - Padrões'!$A$2:$T$1160,AF$1,FALSE)="","-",VLOOKUP(ROUND(CONCATENATE($A20,AF$2),0),'Cadastro - Padrões'!$A$2:$T$1160,AF$1,FALSE)))</f>
        <v>2</v>
      </c>
      <c r="AG20" s="16">
        <f>IF($B20="-","-",IF(VLOOKUP(ROUND(CONCATENATE($A20,AG$2),0),'Cadastro - Padrões'!$A$2:$T$1160,AG$1,FALSE)="","-",VLOOKUP(ROUND(CONCATENATE($A20,AG$2),0),'Cadastro - Padrões'!$A$2:$T$1160,AG$1,FALSE)))</f>
        <v>1000000</v>
      </c>
      <c r="AH20" s="16">
        <f>IF($B20="-","-",IF(VLOOKUP(ROUND(CONCATENATE($A20,AH$2),0),'Cadastro - Padrões'!$A$2:$T$1160,AH$1,FALSE)="","-",VLOOKUP(ROUND(CONCATENATE($A20,AH$2),0),'Cadastro - Padrões'!$A$2:$T$1160,AH$1,FALSE)))</f>
        <v>649.9</v>
      </c>
      <c r="AI20" s="16">
        <f>IF($B20="-","-",IF(VLOOKUP(ROUND(CONCATENATE($A20,AI$2),0),'Cadastro - Padrões'!$A$2:$T$1160,AI$1,FALSE)="","-",VLOOKUP(ROUND(CONCATENATE($A20,AI$2),0),'Cadastro - Padrões'!$A$2:$T$1160,AI$1,FALSE)))</f>
        <v>0.2</v>
      </c>
      <c r="AJ20" s="16">
        <f>IF($B20="-","-",IF(VLOOKUP(ROUND(CONCATENATE($A20,AJ$2),0),'Cadastro - Padrões'!$A$2:$T$1160,AJ$1,FALSE)="","-",VLOOKUP(ROUND(CONCATENATE($A20,AJ$2),0),'Cadastro - Padrões'!$A$2:$T$1160,AJ$1,FALSE)))</f>
        <v>2</v>
      </c>
      <c r="AK20" s="16">
        <f>IF($B20="-","-",IF(VLOOKUP(ROUND(CONCATENATE($A20,AK$2),0),'Cadastro - Padrões'!$A$2:$T$1160,AK$1,FALSE)="","-",VLOOKUP(ROUND(CONCATENATE($A20,AK$2),0),'Cadastro - Padrões'!$A$2:$T$1160,AK$1,FALSE)))</f>
        <v>1000000</v>
      </c>
      <c r="AL20" s="16">
        <f>IF($B20="-","-",IF(VLOOKUP(ROUND(CONCATENATE($A20,AL$2),0),'Cadastro - Padrões'!$A$2:$T$1160,AL$1,FALSE)="","-",VLOOKUP(ROUND(CONCATENATE($A20,AL$2),0),'Cadastro - Padrões'!$A$2:$T$1160,AL$1,FALSE)))</f>
        <v>700</v>
      </c>
      <c r="AM20" s="16">
        <f>IF($B20="-","-",IF(VLOOKUP(ROUND(CONCATENATE($A20,AM$2),0),'Cadastro - Padrões'!$A$2:$T$1160,AM$1,FALSE)="","-",VLOOKUP(ROUND(CONCATENATE($A20,AM$2),0),'Cadastro - Padrões'!$A$2:$T$1160,AM$1,FALSE)))</f>
        <v>0.2</v>
      </c>
      <c r="AN20" s="16">
        <f>IF($B20="-","-",IF(VLOOKUP(ROUND(CONCATENATE($A20,AN$2),0),'Cadastro - Padrões'!$A$2:$T$1160,AN$1,FALSE)="","-",VLOOKUP(ROUND(CONCATENATE($A20,AN$2),0),'Cadastro - Padrões'!$A$2:$T$1160,AN$1,FALSE)))</f>
        <v>2</v>
      </c>
      <c r="AO20" s="16">
        <f>IF($B20="-","-",IF(VLOOKUP(ROUND(CONCATENATE($A20,AO$2),0),'Cadastro - Padrões'!$A$2:$T$1160,AO$1,FALSE)="","-",VLOOKUP(ROUND(CONCATENATE($A20,AO$2),0),'Cadastro - Padrões'!$A$2:$T$1160,AO$1,FALSE)))</f>
        <v>1000000</v>
      </c>
      <c r="AP20" s="16">
        <f>IF($B20="-","-",IF(VLOOKUP(ROUND(CONCATENATE($A20,AP$2),0),'Cadastro - Padrões'!$A$2:$T$1160,AP$1,FALSE)="","-",VLOOKUP(ROUND(CONCATENATE($A20,AP$2),0),'Cadastro - Padrões'!$A$2:$T$1160,AP$1,FALSE)))</f>
        <v>750</v>
      </c>
      <c r="AQ20" s="16">
        <f>IF($B20="-","-",IF(VLOOKUP(ROUND(CONCATENATE($A20,AQ$2),0),'Cadastro - Padrões'!$A$2:$T$1160,AQ$1,FALSE)="","-",VLOOKUP(ROUND(CONCATENATE($A20,AQ$2),0),'Cadastro - Padrões'!$A$2:$T$1160,AQ$1,FALSE)))</f>
        <v>0.2</v>
      </c>
      <c r="AR20" s="16">
        <f>IF($B20="-","-",IF(VLOOKUP(ROUND(CONCATENATE($A20,AR$2),0),'Cadastro - Padrões'!$A$2:$T$1160,AR$1,FALSE)="","-",VLOOKUP(ROUND(CONCATENATE($A20,AR$2),0),'Cadastro - Padrões'!$A$2:$T$1160,AR$1,FALSE)))</f>
        <v>2</v>
      </c>
      <c r="AS20" s="16">
        <f>IF($B20="-","-",IF(VLOOKUP(ROUND(CONCATENATE($A20,AS$2),0),'Cadastro - Padrões'!$A$2:$T$1160,AS$1,FALSE)="","-",VLOOKUP(ROUND(CONCATENATE($A20,AS$2),0),'Cadastro - Padrões'!$A$2:$T$1160,AS$1,FALSE)))</f>
        <v>1000000</v>
      </c>
      <c r="AT20" s="16">
        <f>IF($B20="-","-",IF(VLOOKUP(ROUND(CONCATENATE($A20,AT$2),0),'Cadastro - Padrões'!$A$2:$T$1160,AT$1,FALSE)="","-",VLOOKUP(ROUND(CONCATENATE($A20,AT$2),0),'Cadastro - Padrões'!$A$2:$T$1160,AT$1,FALSE)))</f>
        <v>799.9</v>
      </c>
      <c r="AU20" s="16">
        <f>IF($B20="-","-",IF(VLOOKUP(ROUND(CONCATENATE($A20,AU$2),0),'Cadastro - Padrões'!$A$2:$T$1160,AU$1,FALSE)="","-",VLOOKUP(ROUND(CONCATENATE($A20,AU$2),0),'Cadastro - Padrões'!$A$2:$T$1160,AU$1,FALSE)))</f>
        <v>0.2</v>
      </c>
      <c r="AV20" s="16">
        <f>IF($B20="-","-",IF(VLOOKUP(ROUND(CONCATENATE($A20,AV$2),0),'Cadastro - Padrões'!$A$2:$T$1160,AV$1,FALSE)="","-",VLOOKUP(ROUND(CONCATENATE($A20,AV$2),0),'Cadastro - Padrões'!$A$2:$T$1160,AV$1,FALSE)))</f>
        <v>2</v>
      </c>
      <c r="AW20" s="16">
        <f>IF($B20="-","-",IF(VLOOKUP(ROUND(CONCATENATE($A20,AW$2),0),'Cadastro - Padrões'!$A$2:$T$1160,AW$1,FALSE)="","-",VLOOKUP(ROUND(CONCATENATE($A20,AW$2),0),'Cadastro - Padrões'!$A$2:$T$1160,AW$1,FALSE)))</f>
        <v>1000000</v>
      </c>
      <c r="AX20" s="16">
        <f>IF($B20="-","-",IF(VLOOKUP(ROUND(CONCATENATE($A20,AX$2),0),'Cadastro - Padrões'!$A$2:$T$1160,AX$1,FALSE)="","-",VLOOKUP(ROUND(CONCATENATE($A20,AX$2),0),'Cadastro - Padrões'!$A$2:$T$1160,AX$1,FALSE)))</f>
        <v>850</v>
      </c>
      <c r="AY20" s="16">
        <f>IF($B20="-","-",IF(VLOOKUP(ROUND(CONCATENATE($A20,AY$2),0),'Cadastro - Padrões'!$A$2:$T$1160,AY$1,FALSE)="","-",VLOOKUP(ROUND(CONCATENATE($A20,AY$2),0),'Cadastro - Padrões'!$A$2:$T$1160,AY$1,FALSE)))</f>
        <v>0.2</v>
      </c>
      <c r="AZ20" s="16">
        <f>IF($B20="-","-",IF(VLOOKUP(ROUND(CONCATENATE($A20,AZ$2),0),'Cadastro - Padrões'!$A$2:$T$1160,AZ$1,FALSE)="","-",VLOOKUP(ROUND(CONCATENATE($A20,AZ$2),0),'Cadastro - Padrões'!$A$2:$T$1160,AZ$1,FALSE)))</f>
        <v>2</v>
      </c>
      <c r="BA20" s="16">
        <f>IF($B20="-","-",IF(VLOOKUP(ROUND(CONCATENATE($A20,BA$2),0),'Cadastro - Padrões'!$A$2:$T$1160,BA$1,FALSE)="","-",VLOOKUP(ROUND(CONCATENATE($A20,BA$2),0),'Cadastro - Padrões'!$A$2:$T$1160,BA$1,FALSE)))</f>
        <v>1000000</v>
      </c>
      <c r="BB20" s="16">
        <f>IF($B20="-","-",IF(VLOOKUP(ROUND(CONCATENATE($A20,BB$2),0),'Cadastro - Padrões'!$A$2:$T$1160,BB$1,FALSE)="","-",VLOOKUP(ROUND(CONCATENATE($A20,BB$2),0),'Cadastro - Padrões'!$A$2:$T$1160,BB$1,FALSE)))</f>
        <v>900</v>
      </c>
      <c r="BC20" s="16">
        <f>IF($B20="-","-",IF(VLOOKUP(ROUND(CONCATENATE($A20,BC$2),0),'Cadastro - Padrões'!$A$2:$T$1160,BC$1,FALSE)="","-",VLOOKUP(ROUND(CONCATENATE($A20,BC$2),0),'Cadastro - Padrões'!$A$2:$T$1160,BC$1,FALSE)))</f>
        <v>0.2</v>
      </c>
      <c r="BD20" s="16">
        <f>IF($B20="-","-",IF(VLOOKUP(ROUND(CONCATENATE($A20,BD$2),0),'Cadastro - Padrões'!$A$2:$T$1160,BD$1,FALSE)="","-",VLOOKUP(ROUND(CONCATENATE($A20,BD$2),0),'Cadastro - Padrões'!$A$2:$T$1160,BD$1,FALSE)))</f>
        <v>2</v>
      </c>
      <c r="BE20" s="16">
        <f>IF($B20="-","-",IF(VLOOKUP(ROUND(CONCATENATE($A20,BE$2),0),'Cadastro - Padrões'!$A$2:$T$1160,BE$1,FALSE)="","-",VLOOKUP(ROUND(CONCATENATE($A20,BE$2),0),'Cadastro - Padrões'!$A$2:$T$1160,BE$1,FALSE)))</f>
        <v>1000000</v>
      </c>
      <c r="BF20" s="16">
        <f>IF($B20="-","-",IF(VLOOKUP(ROUND(CONCATENATE($A20,BF$2),0),'Cadastro - Padrões'!$A$2:$T$1160,BF$1,FALSE)="","-",VLOOKUP(ROUND(CONCATENATE($A20,BF$2),0),'Cadastro - Padrões'!$A$2:$T$1160,BF$1,FALSE)))</f>
        <v>950</v>
      </c>
      <c r="BG20" s="16">
        <f>IF($B20="-","-",IF(VLOOKUP(ROUND(CONCATENATE($A20,BG$2),0),'Cadastro - Padrões'!$A$2:$T$1160,BG$1,FALSE)="","-",VLOOKUP(ROUND(CONCATENATE($A20,BG$2),0),'Cadastro - Padrões'!$A$2:$T$1160,BG$1,FALSE)))</f>
        <v>0.2</v>
      </c>
      <c r="BH20" s="16">
        <f>IF($B20="-","-",IF(VLOOKUP(ROUND(CONCATENATE($A20,BH$2),0),'Cadastro - Padrões'!$A$2:$T$1160,BH$1,FALSE)="","-",VLOOKUP(ROUND(CONCATENATE($A20,BH$2),0),'Cadastro - Padrões'!$A$2:$T$1160,BH$1,FALSE)))</f>
        <v>2</v>
      </c>
      <c r="BI20" s="16">
        <f>IF($B20="-","-",IF(VLOOKUP(ROUND(CONCATENATE($A20,BI$2),0),'Cadastro - Padrões'!$A$2:$T$1160,BI$1,FALSE)="","-",VLOOKUP(ROUND(CONCATENATE($A20,BI$2),0),'Cadastro - Padrões'!$A$2:$T$1160,BI$1,FALSE)))</f>
        <v>1000000</v>
      </c>
      <c r="BJ20" s="16">
        <f>IF($B20="-","-",IF(VLOOKUP(ROUND(CONCATENATE($A20,BJ$2),0),'Cadastro - Padrões'!$A$2:$T$1160,BJ$1,FALSE)="","-",VLOOKUP(ROUND(CONCATENATE($A20,BJ$2),0),'Cadastro - Padrões'!$A$2:$T$1160,BJ$1,FALSE)))</f>
        <v>1000</v>
      </c>
      <c r="BK20" s="16">
        <f>IF($B20="-","-",IF(VLOOKUP(ROUND(CONCATENATE($A20,BK$2),0),'Cadastro - Padrões'!$A$2:$T$1160,BK$1,FALSE)="","-",VLOOKUP(ROUND(CONCATENATE($A20,BK$2),0),'Cadastro - Padrões'!$A$2:$T$1160,BK$1,FALSE)))</f>
        <v>0.2</v>
      </c>
      <c r="BL20" s="16">
        <f>IF($B20="-","-",IF(VLOOKUP(ROUND(CONCATENATE($A20,BL$2),0),'Cadastro - Padrões'!$A$2:$T$1160,BL$1,FALSE)="","-",VLOOKUP(ROUND(CONCATENATE($A20,BL$2),0),'Cadastro - Padrões'!$A$2:$T$1160,BL$1,FALSE)))</f>
        <v>2</v>
      </c>
      <c r="BM20" s="16">
        <f>IF($B20="-","-",IF(VLOOKUP(ROUND(CONCATENATE($A20,BM$2),0),'Cadastro - Padrões'!$A$2:$T$1160,BM$1,FALSE)="","-",VLOOKUP(ROUND(CONCATENATE($A20,BM$2),0),'Cadastro - Padrões'!$A$2:$T$1160,BM$1,FALSE)))</f>
        <v>1000000</v>
      </c>
      <c r="BN20" s="16">
        <f>IF($B20="-","-",IF(VLOOKUP(ROUND(CONCATENATE($A20,BN$2),0),'Cadastro - Padrões'!$A$2:$T$1160,BN$1,FALSE)="","-",VLOOKUP(ROUND(CONCATENATE($A20,BN$2),0),'Cadastro - Padrões'!$A$2:$T$1160,BN$1,FALSE)))</f>
        <v>1050</v>
      </c>
      <c r="BO20" s="16">
        <f>IF($B20="-","-",IF(VLOOKUP(ROUND(CONCATENATE($A20,BO$2),0),'Cadastro - Padrões'!$A$2:$T$1160,BO$1,FALSE)="","-",VLOOKUP(ROUND(CONCATENATE($A20,BO$2),0),'Cadastro - Padrões'!$A$2:$T$1160,BO$1,FALSE)))</f>
        <v>0.2</v>
      </c>
      <c r="BP20" s="16">
        <f>IF($B20="-","-",IF(VLOOKUP(ROUND(CONCATENATE($A20,BP$2),0),'Cadastro - Padrões'!$A$2:$T$1160,BP$1,FALSE)="","-",VLOOKUP(ROUND(CONCATENATE($A20,BP$2),0),'Cadastro - Padrões'!$A$2:$T$1160,BP$1,FALSE)))</f>
        <v>2</v>
      </c>
      <c r="BQ20" s="16">
        <f>IF($B20="-","-",IF(VLOOKUP(ROUND(CONCATENATE($A20,BQ$2),0),'Cadastro - Padrões'!$A$2:$T$1160,BQ$1,FALSE)="","-",VLOOKUP(ROUND(CONCATENATE($A20,BQ$2),0),'Cadastro - Padrões'!$A$2:$T$1160,BQ$1,FALSE)))</f>
        <v>1000000</v>
      </c>
      <c r="BR20" s="16">
        <f>IF($B20="-","-",IF(VLOOKUP(ROUND(CONCATENATE($A20,BR$2),0),'Cadastro - Padrões'!$A$2:$T$1160,BR$1,FALSE)="","-",VLOOKUP(ROUND(CONCATENATE($A20,BR$2),0),'Cadastro - Padrões'!$A$2:$T$1160,BR$1,FALSE)))</f>
        <v>1100</v>
      </c>
      <c r="BS20" s="16">
        <f>IF($B20="-","-",IF(VLOOKUP(ROUND(CONCATENATE($A20,BS$2),0),'Cadastro - Padrões'!$A$2:$T$1160,BS$1,FALSE)="","-",VLOOKUP(ROUND(CONCATENATE($A20,BS$2),0),'Cadastro - Padrões'!$A$2:$T$1160,BS$1,FALSE)))</f>
        <v>0.2</v>
      </c>
      <c r="BT20" s="16">
        <f>IF($B20="-","-",IF(VLOOKUP(ROUND(CONCATENATE($A20,BT$2),0),'Cadastro - Padrões'!$A$2:$T$1160,BT$1,FALSE)="","-",VLOOKUP(ROUND(CONCATENATE($A20,BT$2),0),'Cadastro - Padrões'!$A$2:$T$1160,BT$1,FALSE)))</f>
        <v>2</v>
      </c>
      <c r="BU20" s="16">
        <f>IF($B20="-","-",IF(VLOOKUP(ROUND(CONCATENATE($A20,BU$2),0),'Cadastro - Padrões'!$A$2:$T$1160,BU$1,FALSE)="","-",VLOOKUP(ROUND(CONCATENATE($A20,BU$2),0),'Cadastro - Padrões'!$A$2:$T$1160,BU$1,FALSE)))</f>
        <v>1000000</v>
      </c>
      <c r="BV20" s="16" t="str">
        <f>IF($B20="-","-",IF(VLOOKUP(ROUND(CONCATENATE($A20,BV$2),0),'Cadastro - Padrões'!$A$2:$T$1160,BV$1,FALSE)="","-",VLOOKUP(ROUND(CONCATENATE($A20,BV$2),0),'Cadastro - Padrões'!$A$2:$T$1160,BV$1,FALSE)))</f>
        <v>-</v>
      </c>
      <c r="BW20" s="16" t="str">
        <f>IF($B20="-","-",IF(VLOOKUP(ROUND(CONCATENATE($A20,BW$2),0),'Cadastro - Padrões'!$A$2:$T$1160,BW$1,FALSE)="","-",VLOOKUP(ROUND(CONCATENATE($A20,BW$2),0),'Cadastro - Padrões'!$A$2:$T$1160,BW$1,FALSE)))</f>
        <v>-</v>
      </c>
      <c r="BX20" s="16" t="str">
        <f>IF($B20="-","-",IF(VLOOKUP(ROUND(CONCATENATE($A20,BX$2),0),'Cadastro - Padrões'!$A$2:$T$1160,BX$1,FALSE)="","-",VLOOKUP(ROUND(CONCATENATE($A20,BX$2),0),'Cadastro - Padrões'!$A$2:$T$1160,BX$1,FALSE)))</f>
        <v>-</v>
      </c>
      <c r="BY20" s="16" t="str">
        <f>IF($B20="-","-",IF(VLOOKUP(ROUND(CONCATENATE($A20,BY$2),0),'Cadastro - Padrões'!$A$2:$T$1160,BY$1,FALSE)="","-",VLOOKUP(ROUND(CONCATENATE($A20,BY$2),0),'Cadastro - Padrões'!$A$2:$T$1160,BY$1,FALSE)))</f>
        <v>-</v>
      </c>
      <c r="BZ20" s="16" t="str">
        <f>IF($B20="-","-",IF(VLOOKUP(ROUND(CONCATENATE($A20,BZ$2),0),'Cadastro - Padrões'!$A$2:$T$1160,BZ$1,FALSE)="","-",VLOOKUP(ROUND(CONCATENATE($A20,BZ$2),0),'Cadastro - Padrões'!$A$2:$T$1160,BZ$1,FALSE)))</f>
        <v>-</v>
      </c>
      <c r="CA20" s="16" t="str">
        <f>IF($B20="-","-",IF(VLOOKUP(ROUND(CONCATENATE($A20,CA$2),0),'Cadastro - Padrões'!$A$2:$T$1160,CA$1,FALSE)="","-",VLOOKUP(ROUND(CONCATENATE($A20,CA$2),0),'Cadastro - Padrões'!$A$2:$T$1160,CA$1,FALSE)))</f>
        <v>-</v>
      </c>
      <c r="CB20" s="16" t="str">
        <f>IF($B20="-","-",IF(VLOOKUP(ROUND(CONCATENATE($A20,CB$2),0),'Cadastro - Padrões'!$A$2:$T$1160,CB$1,FALSE)="","-",VLOOKUP(ROUND(CONCATENATE($A20,CB$2),0),'Cadastro - Padrões'!$A$2:$T$1160,CB$1,FALSE)))</f>
        <v>-</v>
      </c>
      <c r="CC20" s="16" t="str">
        <f>IF($B20="-","-",IF(VLOOKUP(ROUND(CONCATENATE($A20,CC$2),0),'Cadastro - Padrões'!$A$2:$T$1160,CC$1,FALSE)="","-",VLOOKUP(ROUND(CONCATENATE($A20,CC$2),0),'Cadastro - Padrões'!$A$2:$T$1160,CC$1,FALSE)))</f>
        <v>-</v>
      </c>
    </row>
    <row r="21" spans="1:81" x14ac:dyDescent="0.3">
      <c r="A21" s="15">
        <f t="shared" si="82"/>
        <v>16</v>
      </c>
      <c r="B21" s="16" t="str">
        <f>IF(VLOOKUP(ROUND(CONCATENATE($A21,B$2),0),'Cadastro - Padrões'!$A$2:$T$1160,B$1,FALSE)="","-",VLOOKUP(ROUND(CONCATENATE($A21,B$2),0),'Cadastro - Padrões'!$A$2:$T$1160,B$1,FALSE))</f>
        <v>-</v>
      </c>
      <c r="C21" s="16" t="str">
        <f>IF(VLOOKUP(ROUND(CONCATENATE($A21,C$2),0),'Cadastro - Padrões'!$A$2:$T$1160,C$1,FALSE)="","-",VLOOKUP(ROUND(CONCATENATE($A21,C$2),0),'Cadastro - Padrões'!$A$2:$T$1160,C$1,FALSE))</f>
        <v>-</v>
      </c>
      <c r="D21" s="16" t="str">
        <f>IF($B21="-","-",VLOOKUP(ROUND(CONCATENATE($A21,D$2),0),'Cadastro - Padrões'!$A$2:$T$1160,D$1,FALSE))</f>
        <v>-</v>
      </c>
      <c r="E21" s="16" t="str">
        <f>IF($B21="-","-",VLOOKUP(ROUND(CONCATENATE($A21,E$2),0),'Cadastro - Padrões'!$A$2:$T$1160,E$1,FALSE))</f>
        <v>-</v>
      </c>
      <c r="F21" s="16" t="str">
        <f>IF($B21="-","-",VLOOKUP(ROUND(CONCATENATE($A21,F$2),0),'Cadastro - Padrões'!$A$2:$T$1160,F$1,FALSE))</f>
        <v>-</v>
      </c>
      <c r="G21" s="17" t="str">
        <f>IF($B21="-","-",VLOOKUP(ROUND(CONCATENATE($A21,G$2),0),'Cadastro - Padrões'!$A$2:$T$1160,G$1,FALSE))</f>
        <v>-</v>
      </c>
      <c r="H21" s="18" t="str">
        <f>IF($B21="-","-",VLOOKUP(ROUND(CONCATENATE($A21,H$2),0),'Cadastro - Padrões'!$A$2:$T$1160,H$1,FALSE))</f>
        <v>-</v>
      </c>
      <c r="I21" s="16" t="str">
        <f>IF($B21="-","-",VLOOKUP(ROUND(CONCATENATE($A21,I$2),0),'Cadastro - Padrões'!$A$2:$T$1160,I$1,FALSE))</f>
        <v>-</v>
      </c>
      <c r="J21" s="16" t="str">
        <f>IF($B21="-","-",VLOOKUP(ROUND(CONCATENATE($A21,J$2),0),'Cadastro - Padrões'!$A$2:$T$1160,J$1,FALSE))</f>
        <v>-</v>
      </c>
      <c r="K21" s="16" t="str">
        <f>IF($B21="-","-",VLOOKUP(ROUND(CONCATENATE($A21,K$2),0),'Cadastro - Padrões'!$A$2:$T$1160,K$1,FALSE))</f>
        <v>-</v>
      </c>
      <c r="L21" s="16" t="str">
        <f>IF($B21="-","-",VLOOKUP(ROUND(CONCATENATE($A21,L$2),0),'Cadastro - Padrões'!$A$2:$T$1160,L$1,FALSE))</f>
        <v>-</v>
      </c>
      <c r="M21" s="19" t="str">
        <f>IF($B21="-","-",VLOOKUP(ROUND(CONCATENATE($A21,M$2),0),'Cadastro - Padrões'!$A$2:$T$1160,M$1,FALSE))</f>
        <v>-</v>
      </c>
      <c r="N21" s="16" t="str">
        <f>IF($B21="-","-",VLOOKUP(ROUND(CONCATENATE($A21,N$2),0),'Cadastro - Padrões'!$A$2:$T$1160,N$1,FALSE))</f>
        <v>-</v>
      </c>
      <c r="O21" s="19" t="str">
        <f>IF($B21="-","-",VLOOKUP(ROUND(CONCATENATE($A21,O$2),0),'Cadastro - Padrões'!$A$2:$T$1160,O$1,FALSE))</f>
        <v>-</v>
      </c>
      <c r="P21" s="16" t="str">
        <f>IF($B21="-","-",VLOOKUP(ROUND(CONCATENATE($A21,P$2),0),'Cadastro - Padrões'!$A$2:$T$1160,P$1,FALSE))</f>
        <v>-</v>
      </c>
      <c r="Q21" s="16" t="str">
        <f>IF($B21="-","-",VLOOKUP(ROUND(CONCATENATE($A21,Q$2),0),'Cadastro - Padrões'!$A$2:$T$1160,Q$1,FALSE))</f>
        <v>-</v>
      </c>
      <c r="R21" s="16" t="str">
        <f>IF($B21="-","-",VLOOKUP(ROUND(CONCATENATE($A21,R$2),0),'Cadastro - Padrões'!$A$2:$T$1160,R$1,FALSE))</f>
        <v>-</v>
      </c>
      <c r="S21" s="16" t="str">
        <f>IF($B21="-","-",VLOOKUP(ROUND(CONCATENATE($A21,S$2),0),'Cadastro - Padrões'!$A$2:$T$1160,S$1,FALSE))</f>
        <v>-</v>
      </c>
      <c r="T21" s="16" t="str">
        <f>IF($B21="-","-",VLOOKUP(ROUND(CONCATENATE($A21,T$2),0),'Cadastro - Padrões'!$A$2:$T$1160,T$1,FALSE))</f>
        <v>-</v>
      </c>
      <c r="U21" s="16" t="str">
        <f>IF($B21="-","-",VLOOKUP(ROUND(CONCATENATE($A21,U$2),0),'Cadastro - Padrões'!$A$2:$T$1160,U$1,FALSE))</f>
        <v>-</v>
      </c>
      <c r="V21" s="16" t="str">
        <f>IF($B21="-","-",IF(VLOOKUP(ROUND(CONCATENATE($A21,V$2),0),'Cadastro - Padrões'!$A$2:$T$1160,V$1,FALSE)="","-",VLOOKUP(ROUND(CONCATENATE($A21,V$2),0),'Cadastro - Padrões'!$A$2:$T$1160,V$1,FALSE)))</f>
        <v>-</v>
      </c>
      <c r="W21" s="16" t="str">
        <f>IF($B21="-","-",IF(VLOOKUP(ROUND(CONCATENATE($A21,W$2),0),'Cadastro - Padrões'!$A$2:$T$1160,W$1,FALSE)="","-",VLOOKUP(ROUND(CONCATENATE($A21,W$2),0),'Cadastro - Padrões'!$A$2:$T$1160,W$1,FALSE)))</f>
        <v>-</v>
      </c>
      <c r="X21" s="16" t="str">
        <f>IF($B21="-","-",IF(VLOOKUP(ROUND(CONCATENATE($A21,X$2),0),'Cadastro - Padrões'!$A$2:$T$1160,X$1,FALSE)="","-",VLOOKUP(ROUND(CONCATENATE($A21,X$2),0),'Cadastro - Padrões'!$A$2:$T$1160,X$1,FALSE)))</f>
        <v>-</v>
      </c>
      <c r="Y21" s="16" t="str">
        <f>IF($B21="-","-",IF(VLOOKUP(ROUND(CONCATENATE($A21,Y$2),0),'Cadastro - Padrões'!$A$2:$T$1160,Y$1,FALSE)="","-",VLOOKUP(ROUND(CONCATENATE($A21,Y$2),0),'Cadastro - Padrões'!$A$2:$T$1160,Y$1,FALSE)))</f>
        <v>-</v>
      </c>
      <c r="Z21" s="16" t="str">
        <f>IF($B21="-","-",IF(VLOOKUP(ROUND(CONCATENATE($A21,Z$2),0),'Cadastro - Padrões'!$A$2:$T$1160,Z$1,FALSE)="","-",VLOOKUP(ROUND(CONCATENATE($A21,Z$2),0),'Cadastro - Padrões'!$A$2:$T$1160,Z$1,FALSE)))</f>
        <v>-</v>
      </c>
      <c r="AA21" s="16" t="str">
        <f>IF($B21="-","-",IF(VLOOKUP(ROUND(CONCATENATE($A21,AA$2),0),'Cadastro - Padrões'!$A$2:$T$1160,AA$1,FALSE)="","-",VLOOKUP(ROUND(CONCATENATE($A21,AA$2),0),'Cadastro - Padrões'!$A$2:$T$1160,AA$1,FALSE)))</f>
        <v>-</v>
      </c>
      <c r="AB21" s="16" t="str">
        <f>IF($B21="-","-",IF(VLOOKUP(ROUND(CONCATENATE($A21,AB$2),0),'Cadastro - Padrões'!$A$2:$T$1160,AB$1,FALSE)="","-",VLOOKUP(ROUND(CONCATENATE($A21,AB$2),0),'Cadastro - Padrões'!$A$2:$T$1160,AB$1,FALSE)))</f>
        <v>-</v>
      </c>
      <c r="AC21" s="16" t="str">
        <f>IF($B21="-","-",IF(VLOOKUP(ROUND(CONCATENATE($A21,AC$2),0),'Cadastro - Padrões'!$A$2:$T$1160,AC$1,FALSE)="","-",VLOOKUP(ROUND(CONCATENATE($A21,AC$2),0),'Cadastro - Padrões'!$A$2:$T$1160,AC$1,FALSE)))</f>
        <v>-</v>
      </c>
      <c r="AD21" s="16" t="str">
        <f>IF($B21="-","-",IF(VLOOKUP(ROUND(CONCATENATE($A21,AD$2),0),'Cadastro - Padrões'!$A$2:$T$1160,AD$1,FALSE)="","-",VLOOKUP(ROUND(CONCATENATE($A21,AD$2),0),'Cadastro - Padrões'!$A$2:$T$1160,AD$1,FALSE)))</f>
        <v>-</v>
      </c>
      <c r="AE21" s="16" t="str">
        <f>IF($B21="-","-",IF(VLOOKUP(ROUND(CONCATENATE($A21,AE$2),0),'Cadastro - Padrões'!$A$2:$T$1160,AE$1,FALSE)="","-",VLOOKUP(ROUND(CONCATENATE($A21,AE$2),0),'Cadastro - Padrões'!$A$2:$T$1160,AE$1,FALSE)))</f>
        <v>-</v>
      </c>
      <c r="AF21" s="16" t="str">
        <f>IF($B21="-","-",IF(VLOOKUP(ROUND(CONCATENATE($A21,AF$2),0),'Cadastro - Padrões'!$A$2:$T$1160,AF$1,FALSE)="","-",VLOOKUP(ROUND(CONCATENATE($A21,AF$2),0),'Cadastro - Padrões'!$A$2:$T$1160,AF$1,FALSE)))</f>
        <v>-</v>
      </c>
      <c r="AG21" s="16" t="str">
        <f>IF($B21="-","-",IF(VLOOKUP(ROUND(CONCATENATE($A21,AG$2),0),'Cadastro - Padrões'!$A$2:$T$1160,AG$1,FALSE)="","-",VLOOKUP(ROUND(CONCATENATE($A21,AG$2),0),'Cadastro - Padrões'!$A$2:$T$1160,AG$1,FALSE)))</f>
        <v>-</v>
      </c>
      <c r="AH21" s="16" t="str">
        <f>IF($B21="-","-",IF(VLOOKUP(ROUND(CONCATENATE($A21,AH$2),0),'Cadastro - Padrões'!$A$2:$T$1160,AH$1,FALSE)="","-",VLOOKUP(ROUND(CONCATENATE($A21,AH$2),0),'Cadastro - Padrões'!$A$2:$T$1160,AH$1,FALSE)))</f>
        <v>-</v>
      </c>
      <c r="AI21" s="16" t="str">
        <f>IF($B21="-","-",IF(VLOOKUP(ROUND(CONCATENATE($A21,AI$2),0),'Cadastro - Padrões'!$A$2:$T$1160,AI$1,FALSE)="","-",VLOOKUP(ROUND(CONCATENATE($A21,AI$2),0),'Cadastro - Padrões'!$A$2:$T$1160,AI$1,FALSE)))</f>
        <v>-</v>
      </c>
      <c r="AJ21" s="16" t="str">
        <f>IF($B21="-","-",IF(VLOOKUP(ROUND(CONCATENATE($A21,AJ$2),0),'Cadastro - Padrões'!$A$2:$T$1160,AJ$1,FALSE)="","-",VLOOKUP(ROUND(CONCATENATE($A21,AJ$2),0),'Cadastro - Padrões'!$A$2:$T$1160,AJ$1,FALSE)))</f>
        <v>-</v>
      </c>
      <c r="AK21" s="16" t="str">
        <f>IF($B21="-","-",IF(VLOOKUP(ROUND(CONCATENATE($A21,AK$2),0),'Cadastro - Padrões'!$A$2:$T$1160,AK$1,FALSE)="","-",VLOOKUP(ROUND(CONCATENATE($A21,AK$2),0),'Cadastro - Padrões'!$A$2:$T$1160,AK$1,FALSE)))</f>
        <v>-</v>
      </c>
      <c r="AL21" s="16" t="str">
        <f>IF($B21="-","-",IF(VLOOKUP(ROUND(CONCATENATE($A21,AL$2),0),'Cadastro - Padrões'!$A$2:$T$1160,AL$1,FALSE)="","-",VLOOKUP(ROUND(CONCATENATE($A21,AL$2),0),'Cadastro - Padrões'!$A$2:$T$1160,AL$1,FALSE)))</f>
        <v>-</v>
      </c>
      <c r="AM21" s="16" t="str">
        <f>IF($B21="-","-",IF(VLOOKUP(ROUND(CONCATENATE($A21,AM$2),0),'Cadastro - Padrões'!$A$2:$T$1160,AM$1,FALSE)="","-",VLOOKUP(ROUND(CONCATENATE($A21,AM$2),0),'Cadastro - Padrões'!$A$2:$T$1160,AM$1,FALSE)))</f>
        <v>-</v>
      </c>
      <c r="AN21" s="16" t="str">
        <f>IF($B21="-","-",IF(VLOOKUP(ROUND(CONCATENATE($A21,AN$2),0),'Cadastro - Padrões'!$A$2:$T$1160,AN$1,FALSE)="","-",VLOOKUP(ROUND(CONCATENATE($A21,AN$2),0),'Cadastro - Padrões'!$A$2:$T$1160,AN$1,FALSE)))</f>
        <v>-</v>
      </c>
      <c r="AO21" s="16" t="str">
        <f>IF($B21="-","-",IF(VLOOKUP(ROUND(CONCATENATE($A21,AO$2),0),'Cadastro - Padrões'!$A$2:$T$1160,AO$1,FALSE)="","-",VLOOKUP(ROUND(CONCATENATE($A21,AO$2),0),'Cadastro - Padrões'!$A$2:$T$1160,AO$1,FALSE)))</f>
        <v>-</v>
      </c>
      <c r="AP21" s="16" t="str">
        <f>IF($B21="-","-",IF(VLOOKUP(ROUND(CONCATENATE($A21,AP$2),0),'Cadastro - Padrões'!$A$2:$T$1160,AP$1,FALSE)="","-",VLOOKUP(ROUND(CONCATENATE($A21,AP$2),0),'Cadastro - Padrões'!$A$2:$T$1160,AP$1,FALSE)))</f>
        <v>-</v>
      </c>
      <c r="AQ21" s="16" t="str">
        <f>IF($B21="-","-",IF(VLOOKUP(ROUND(CONCATENATE($A21,AQ$2),0),'Cadastro - Padrões'!$A$2:$T$1160,AQ$1,FALSE)="","-",VLOOKUP(ROUND(CONCATENATE($A21,AQ$2),0),'Cadastro - Padrões'!$A$2:$T$1160,AQ$1,FALSE)))</f>
        <v>-</v>
      </c>
      <c r="AR21" s="16" t="str">
        <f>IF($B21="-","-",IF(VLOOKUP(ROUND(CONCATENATE($A21,AR$2),0),'Cadastro - Padrões'!$A$2:$T$1160,AR$1,FALSE)="","-",VLOOKUP(ROUND(CONCATENATE($A21,AR$2),0),'Cadastro - Padrões'!$A$2:$T$1160,AR$1,FALSE)))</f>
        <v>-</v>
      </c>
      <c r="AS21" s="16" t="str">
        <f>IF($B21="-","-",IF(VLOOKUP(ROUND(CONCATENATE($A21,AS$2),0),'Cadastro - Padrões'!$A$2:$T$1160,AS$1,FALSE)="","-",VLOOKUP(ROUND(CONCATENATE($A21,AS$2),0),'Cadastro - Padrões'!$A$2:$T$1160,AS$1,FALSE)))</f>
        <v>-</v>
      </c>
      <c r="AT21" s="16" t="str">
        <f>IF($B21="-","-",IF(VLOOKUP(ROUND(CONCATENATE($A21,AT$2),0),'Cadastro - Padrões'!$A$2:$T$1160,AT$1,FALSE)="","-",VLOOKUP(ROUND(CONCATENATE($A21,AT$2),0),'Cadastro - Padrões'!$A$2:$T$1160,AT$1,FALSE)))</f>
        <v>-</v>
      </c>
      <c r="AU21" s="16" t="str">
        <f>IF($B21="-","-",IF(VLOOKUP(ROUND(CONCATENATE($A21,AU$2),0),'Cadastro - Padrões'!$A$2:$T$1160,AU$1,FALSE)="","-",VLOOKUP(ROUND(CONCATENATE($A21,AU$2),0),'Cadastro - Padrões'!$A$2:$T$1160,AU$1,FALSE)))</f>
        <v>-</v>
      </c>
      <c r="AV21" s="16" t="str">
        <f>IF($B21="-","-",IF(VLOOKUP(ROUND(CONCATENATE($A21,AV$2),0),'Cadastro - Padrões'!$A$2:$T$1160,AV$1,FALSE)="","-",VLOOKUP(ROUND(CONCATENATE($A21,AV$2),0),'Cadastro - Padrões'!$A$2:$T$1160,AV$1,FALSE)))</f>
        <v>-</v>
      </c>
      <c r="AW21" s="16" t="str">
        <f>IF($B21="-","-",IF(VLOOKUP(ROUND(CONCATENATE($A21,AW$2),0),'Cadastro - Padrões'!$A$2:$T$1160,AW$1,FALSE)="","-",VLOOKUP(ROUND(CONCATENATE($A21,AW$2),0),'Cadastro - Padrões'!$A$2:$T$1160,AW$1,FALSE)))</f>
        <v>-</v>
      </c>
      <c r="AX21" s="16" t="str">
        <f>IF($B21="-","-",IF(VLOOKUP(ROUND(CONCATENATE($A21,AX$2),0),'Cadastro - Padrões'!$A$2:$T$1160,AX$1,FALSE)="","-",VLOOKUP(ROUND(CONCATENATE($A21,AX$2),0),'Cadastro - Padrões'!$A$2:$T$1160,AX$1,FALSE)))</f>
        <v>-</v>
      </c>
      <c r="AY21" s="16" t="str">
        <f>IF($B21="-","-",IF(VLOOKUP(ROUND(CONCATENATE($A21,AY$2),0),'Cadastro - Padrões'!$A$2:$T$1160,AY$1,FALSE)="","-",VLOOKUP(ROUND(CONCATENATE($A21,AY$2),0),'Cadastro - Padrões'!$A$2:$T$1160,AY$1,FALSE)))</f>
        <v>-</v>
      </c>
      <c r="AZ21" s="16" t="str">
        <f>IF($B21="-","-",IF(VLOOKUP(ROUND(CONCATENATE($A21,AZ$2),0),'Cadastro - Padrões'!$A$2:$T$1160,AZ$1,FALSE)="","-",VLOOKUP(ROUND(CONCATENATE($A21,AZ$2),0),'Cadastro - Padrões'!$A$2:$T$1160,AZ$1,FALSE)))</f>
        <v>-</v>
      </c>
      <c r="BA21" s="16" t="str">
        <f>IF($B21="-","-",IF(VLOOKUP(ROUND(CONCATENATE($A21,BA$2),0),'Cadastro - Padrões'!$A$2:$T$1160,BA$1,FALSE)="","-",VLOOKUP(ROUND(CONCATENATE($A21,BA$2),0),'Cadastro - Padrões'!$A$2:$T$1160,BA$1,FALSE)))</f>
        <v>-</v>
      </c>
      <c r="BB21" s="16" t="str">
        <f>IF($B21="-","-",IF(VLOOKUP(ROUND(CONCATENATE($A21,BB$2),0),'Cadastro - Padrões'!$A$2:$T$1160,BB$1,FALSE)="","-",VLOOKUP(ROUND(CONCATENATE($A21,BB$2),0),'Cadastro - Padrões'!$A$2:$T$1160,BB$1,FALSE)))</f>
        <v>-</v>
      </c>
      <c r="BC21" s="16" t="str">
        <f>IF($B21="-","-",IF(VLOOKUP(ROUND(CONCATENATE($A21,BC$2),0),'Cadastro - Padrões'!$A$2:$T$1160,BC$1,FALSE)="","-",VLOOKUP(ROUND(CONCATENATE($A21,BC$2),0),'Cadastro - Padrões'!$A$2:$T$1160,BC$1,FALSE)))</f>
        <v>-</v>
      </c>
      <c r="BD21" s="16" t="str">
        <f>IF($B21="-","-",IF(VLOOKUP(ROUND(CONCATENATE($A21,BD$2),0),'Cadastro - Padrões'!$A$2:$T$1160,BD$1,FALSE)="","-",VLOOKUP(ROUND(CONCATENATE($A21,BD$2),0),'Cadastro - Padrões'!$A$2:$T$1160,BD$1,FALSE)))</f>
        <v>-</v>
      </c>
      <c r="BE21" s="16" t="str">
        <f>IF($B21="-","-",IF(VLOOKUP(ROUND(CONCATENATE($A21,BE$2),0),'Cadastro - Padrões'!$A$2:$T$1160,BE$1,FALSE)="","-",VLOOKUP(ROUND(CONCATENATE($A21,BE$2),0),'Cadastro - Padrões'!$A$2:$T$1160,BE$1,FALSE)))</f>
        <v>-</v>
      </c>
      <c r="BF21" s="16" t="str">
        <f>IF($B21="-","-",IF(VLOOKUP(ROUND(CONCATENATE($A21,BF$2),0),'Cadastro - Padrões'!$A$2:$T$1160,BF$1,FALSE)="","-",VLOOKUP(ROUND(CONCATENATE($A21,BF$2),0),'Cadastro - Padrões'!$A$2:$T$1160,BF$1,FALSE)))</f>
        <v>-</v>
      </c>
      <c r="BG21" s="16" t="str">
        <f>IF($B21="-","-",IF(VLOOKUP(ROUND(CONCATENATE($A21,BG$2),0),'Cadastro - Padrões'!$A$2:$T$1160,BG$1,FALSE)="","-",VLOOKUP(ROUND(CONCATENATE($A21,BG$2),0),'Cadastro - Padrões'!$A$2:$T$1160,BG$1,FALSE)))</f>
        <v>-</v>
      </c>
      <c r="BH21" s="16" t="str">
        <f>IF($B21="-","-",IF(VLOOKUP(ROUND(CONCATENATE($A21,BH$2),0),'Cadastro - Padrões'!$A$2:$T$1160,BH$1,FALSE)="","-",VLOOKUP(ROUND(CONCATENATE($A21,BH$2),0),'Cadastro - Padrões'!$A$2:$T$1160,BH$1,FALSE)))</f>
        <v>-</v>
      </c>
      <c r="BI21" s="16" t="str">
        <f>IF($B21="-","-",IF(VLOOKUP(ROUND(CONCATENATE($A21,BI$2),0),'Cadastro - Padrões'!$A$2:$T$1160,BI$1,FALSE)="","-",VLOOKUP(ROUND(CONCATENATE($A21,BI$2),0),'Cadastro - Padrões'!$A$2:$T$1160,BI$1,FALSE)))</f>
        <v>-</v>
      </c>
      <c r="BJ21" s="16" t="str">
        <f>IF($B21="-","-",IF(VLOOKUP(ROUND(CONCATENATE($A21,BJ$2),0),'Cadastro - Padrões'!$A$2:$T$1160,BJ$1,FALSE)="","-",VLOOKUP(ROUND(CONCATENATE($A21,BJ$2),0),'Cadastro - Padrões'!$A$2:$T$1160,BJ$1,FALSE)))</f>
        <v>-</v>
      </c>
      <c r="BK21" s="16" t="str">
        <f>IF($B21="-","-",IF(VLOOKUP(ROUND(CONCATENATE($A21,BK$2),0),'Cadastro - Padrões'!$A$2:$T$1160,BK$1,FALSE)="","-",VLOOKUP(ROUND(CONCATENATE($A21,BK$2),0),'Cadastro - Padrões'!$A$2:$T$1160,BK$1,FALSE)))</f>
        <v>-</v>
      </c>
      <c r="BL21" s="16" t="str">
        <f>IF($B21="-","-",IF(VLOOKUP(ROUND(CONCATENATE($A21,BL$2),0),'Cadastro - Padrões'!$A$2:$T$1160,BL$1,FALSE)="","-",VLOOKUP(ROUND(CONCATENATE($A21,BL$2),0),'Cadastro - Padrões'!$A$2:$T$1160,BL$1,FALSE)))</f>
        <v>-</v>
      </c>
      <c r="BM21" s="16" t="str">
        <f>IF($B21="-","-",IF(VLOOKUP(ROUND(CONCATENATE($A21,BM$2),0),'Cadastro - Padrões'!$A$2:$T$1160,BM$1,FALSE)="","-",VLOOKUP(ROUND(CONCATENATE($A21,BM$2),0),'Cadastro - Padrões'!$A$2:$T$1160,BM$1,FALSE)))</f>
        <v>-</v>
      </c>
      <c r="BN21" s="16" t="str">
        <f>IF($B21="-","-",IF(VLOOKUP(ROUND(CONCATENATE($A21,BN$2),0),'Cadastro - Padrões'!$A$2:$T$1160,BN$1,FALSE)="","-",VLOOKUP(ROUND(CONCATENATE($A21,BN$2),0),'Cadastro - Padrões'!$A$2:$T$1160,BN$1,FALSE)))</f>
        <v>-</v>
      </c>
      <c r="BO21" s="16" t="str">
        <f>IF($B21="-","-",IF(VLOOKUP(ROUND(CONCATENATE($A21,BO$2),0),'Cadastro - Padrões'!$A$2:$T$1160,BO$1,FALSE)="","-",VLOOKUP(ROUND(CONCATENATE($A21,BO$2),0),'Cadastro - Padrões'!$A$2:$T$1160,BO$1,FALSE)))</f>
        <v>-</v>
      </c>
      <c r="BP21" s="16" t="str">
        <f>IF($B21="-","-",IF(VLOOKUP(ROUND(CONCATENATE($A21,BP$2),0),'Cadastro - Padrões'!$A$2:$T$1160,BP$1,FALSE)="","-",VLOOKUP(ROUND(CONCATENATE($A21,BP$2),0),'Cadastro - Padrões'!$A$2:$T$1160,BP$1,FALSE)))</f>
        <v>-</v>
      </c>
      <c r="BQ21" s="16" t="str">
        <f>IF($B21="-","-",IF(VLOOKUP(ROUND(CONCATENATE($A21,BQ$2),0),'Cadastro - Padrões'!$A$2:$T$1160,BQ$1,FALSE)="","-",VLOOKUP(ROUND(CONCATENATE($A21,BQ$2),0),'Cadastro - Padrões'!$A$2:$T$1160,BQ$1,FALSE)))</f>
        <v>-</v>
      </c>
      <c r="BR21" s="16" t="str">
        <f>IF($B21="-","-",IF(VLOOKUP(ROUND(CONCATENATE($A21,BR$2),0),'Cadastro - Padrões'!$A$2:$T$1160,BR$1,FALSE)="","-",VLOOKUP(ROUND(CONCATENATE($A21,BR$2),0),'Cadastro - Padrões'!$A$2:$T$1160,BR$1,FALSE)))</f>
        <v>-</v>
      </c>
      <c r="BS21" s="16" t="str">
        <f>IF($B21="-","-",IF(VLOOKUP(ROUND(CONCATENATE($A21,BS$2),0),'Cadastro - Padrões'!$A$2:$T$1160,BS$1,FALSE)="","-",VLOOKUP(ROUND(CONCATENATE($A21,BS$2),0),'Cadastro - Padrões'!$A$2:$T$1160,BS$1,FALSE)))</f>
        <v>-</v>
      </c>
      <c r="BT21" s="16" t="str">
        <f>IF($B21="-","-",IF(VLOOKUP(ROUND(CONCATENATE($A21,BT$2),0),'Cadastro - Padrões'!$A$2:$T$1160,BT$1,FALSE)="","-",VLOOKUP(ROUND(CONCATENATE($A21,BT$2),0),'Cadastro - Padrões'!$A$2:$T$1160,BT$1,FALSE)))</f>
        <v>-</v>
      </c>
      <c r="BU21" s="16" t="str">
        <f>IF($B21="-","-",IF(VLOOKUP(ROUND(CONCATENATE($A21,BU$2),0),'Cadastro - Padrões'!$A$2:$T$1160,BU$1,FALSE)="","-",VLOOKUP(ROUND(CONCATENATE($A21,BU$2),0),'Cadastro - Padrões'!$A$2:$T$1160,BU$1,FALSE)))</f>
        <v>-</v>
      </c>
      <c r="BV21" s="16" t="str">
        <f>IF($B21="-","-",IF(VLOOKUP(ROUND(CONCATENATE($A21,BV$2),0),'Cadastro - Padrões'!$A$2:$T$1160,BV$1,FALSE)="","-",VLOOKUP(ROUND(CONCATENATE($A21,BV$2),0),'Cadastro - Padrões'!$A$2:$T$1160,BV$1,FALSE)))</f>
        <v>-</v>
      </c>
      <c r="BW21" s="16" t="str">
        <f>IF($B21="-","-",IF(VLOOKUP(ROUND(CONCATENATE($A21,BW$2),0),'Cadastro - Padrões'!$A$2:$T$1160,BW$1,FALSE)="","-",VLOOKUP(ROUND(CONCATENATE($A21,BW$2),0),'Cadastro - Padrões'!$A$2:$T$1160,BW$1,FALSE)))</f>
        <v>-</v>
      </c>
      <c r="BX21" s="16" t="str">
        <f>IF($B21="-","-",IF(VLOOKUP(ROUND(CONCATENATE($A21,BX$2),0),'Cadastro - Padrões'!$A$2:$T$1160,BX$1,FALSE)="","-",VLOOKUP(ROUND(CONCATENATE($A21,BX$2),0),'Cadastro - Padrões'!$A$2:$T$1160,BX$1,FALSE)))</f>
        <v>-</v>
      </c>
      <c r="BY21" s="16" t="str">
        <f>IF($B21="-","-",IF(VLOOKUP(ROUND(CONCATENATE($A21,BY$2),0),'Cadastro - Padrões'!$A$2:$T$1160,BY$1,FALSE)="","-",VLOOKUP(ROUND(CONCATENATE($A21,BY$2),0),'Cadastro - Padrões'!$A$2:$T$1160,BY$1,FALSE)))</f>
        <v>-</v>
      </c>
      <c r="BZ21" s="16" t="str">
        <f>IF($B21="-","-",IF(VLOOKUP(ROUND(CONCATENATE($A21,BZ$2),0),'Cadastro - Padrões'!$A$2:$T$1160,BZ$1,FALSE)="","-",VLOOKUP(ROUND(CONCATENATE($A21,BZ$2),0),'Cadastro - Padrões'!$A$2:$T$1160,BZ$1,FALSE)))</f>
        <v>-</v>
      </c>
      <c r="CA21" s="16" t="str">
        <f>IF($B21="-","-",IF(VLOOKUP(ROUND(CONCATENATE($A21,CA$2),0),'Cadastro - Padrões'!$A$2:$T$1160,CA$1,FALSE)="","-",VLOOKUP(ROUND(CONCATENATE($A21,CA$2),0),'Cadastro - Padrões'!$A$2:$T$1160,CA$1,FALSE)))</f>
        <v>-</v>
      </c>
      <c r="CB21" s="16" t="str">
        <f>IF($B21="-","-",IF(VLOOKUP(ROUND(CONCATENATE($A21,CB$2),0),'Cadastro - Padrões'!$A$2:$T$1160,CB$1,FALSE)="","-",VLOOKUP(ROUND(CONCATENATE($A21,CB$2),0),'Cadastro - Padrões'!$A$2:$T$1160,CB$1,FALSE)))</f>
        <v>-</v>
      </c>
      <c r="CC21" s="16" t="str">
        <f>IF($B21="-","-",IF(VLOOKUP(ROUND(CONCATENATE($A21,CC$2),0),'Cadastro - Padrões'!$A$2:$T$1160,CC$1,FALSE)="","-",VLOOKUP(ROUND(CONCATENATE($A21,CC$2),0),'Cadastro - Padrões'!$A$2:$T$1160,CC$1,FALSE)))</f>
        <v>-</v>
      </c>
    </row>
    <row r="22" spans="1:81" x14ac:dyDescent="0.3">
      <c r="A22" s="15">
        <f t="shared" si="82"/>
        <v>17</v>
      </c>
      <c r="B22" s="16" t="str">
        <f>IF(VLOOKUP(ROUND(CONCATENATE($A22,B$2),0),'Cadastro - Padrões'!$A$2:$T$1160,B$1,FALSE)="","-",VLOOKUP(ROUND(CONCATENATE($A22,B$2),0),'Cadastro - Padrões'!$A$2:$T$1160,B$1,FALSE))</f>
        <v>M.MS.LM-016</v>
      </c>
      <c r="C22" s="16" t="str">
        <f>IF(VLOOKUP(ROUND(CONCATENATE($A22,C$2),0),'Cadastro - Padrões'!$A$2:$T$1160,C$1,FALSE)="","-",VLOOKUP(ROUND(CONCATENATE($A22,C$2),0),'Cadastro - Padrões'!$A$2:$T$1160,C$1,FALSE))</f>
        <v>Barômetro Digital</v>
      </c>
      <c r="D22" s="16" t="str">
        <f>IF($B22="-","-",VLOOKUP(ROUND(CONCATENATE($A22,D$2),0),'Cadastro - Padrões'!$A$2:$T$1160,D$1,FALSE))</f>
        <v>Elus</v>
      </c>
      <c r="E22" s="16" t="str">
        <f>IF($B22="-","-",VLOOKUP(ROUND(CONCATENATE($A22,E$2),0),'Cadastro - Padrões'!$A$2:$T$1160,E$1,FALSE))</f>
        <v>RBC - CAL 0439</v>
      </c>
      <c r="F22" s="16" t="str">
        <f>IF($B22="-","-",VLOOKUP(ROUND(CONCATENATE($A22,F$2),0),'Cadastro - Padrões'!$A$2:$T$1160,F$1,FALSE))</f>
        <v>E0226/25</v>
      </c>
      <c r="G22" s="17">
        <f>IF($B22="-","-",VLOOKUP(ROUND(CONCATENATE($A22,G$2),0),'Cadastro - Padrões'!$A$2:$T$1160,G$1,FALSE))</f>
        <v>45777</v>
      </c>
      <c r="H22" s="18">
        <f>IF($B22="-","-",VLOOKUP(ROUND(CONCATENATE($A22,H$2),0),'Cadastro - Padrões'!$A$2:$T$1160,H$1,FALSE))</f>
        <v>46507</v>
      </c>
      <c r="I22" s="16" t="str">
        <f>IF($B22="-","-",VLOOKUP(ROUND(CONCATENATE($A22,I$2),0),'Cadastro - Padrões'!$A$2:$T$1160,I$1,FALSE))</f>
        <v>hPa</v>
      </c>
      <c r="J22" s="16">
        <f>IF($B22="-","-",VLOOKUP(ROUND(CONCATENATE($A22,J$2),0),'Cadastro - Padrões'!$A$2:$T$1160,J$1,FALSE))</f>
        <v>500.8</v>
      </c>
      <c r="K22" s="16">
        <f>IF($B22="-","-",VLOOKUP(ROUND(CONCATENATE($A22,K$2),0),'Cadastro - Padrões'!$A$2:$T$1160,K$1,FALSE))</f>
        <v>1099.8</v>
      </c>
      <c r="L22" s="16">
        <f>IF($B22="-","-",VLOOKUP(ROUND(CONCATENATE($A22,L$2),0),'Cadastro - Padrões'!$A$2:$T$1160,L$1,FALSE))</f>
        <v>0.1</v>
      </c>
      <c r="M22" s="19">
        <f>IF($B22="-","-",VLOOKUP(ROUND(CONCATENATE($A22,M$2),0),'Cadastro - Padrões'!$A$2:$T$1160,M$1,FALSE))</f>
        <v>0.20000000000004547</v>
      </c>
      <c r="N22" s="16">
        <f>IF($B22="-","-",VLOOKUP(ROUND(CONCATENATE($A22,N$2),0),'Cadastro - Padrões'!$A$2:$T$1160,N$1,FALSE))</f>
        <v>0.2</v>
      </c>
      <c r="O22" s="19">
        <f>IF($B22="-","-",VLOOKUP(ROUND(CONCATENATE($A22,O$2),0),'Cadastro - Padrões'!$A$2:$T$1160,O$1,FALSE))</f>
        <v>0.20000000000004547</v>
      </c>
      <c r="P22" s="16">
        <f>IF($B22="-","-",VLOOKUP(ROUND(CONCATENATE($A22,P$2),0),'Cadastro - Padrões'!$A$2:$T$1160,P$1,FALSE))</f>
        <v>3.4642957129513263E-2</v>
      </c>
      <c r="Q22" s="16">
        <f>IF($B22="-","-",VLOOKUP(ROUND(CONCATENATE($A22,Q$2),0),'Cadastro - Padrões'!$A$2:$T$1160,Q$1,FALSE))</f>
        <v>3</v>
      </c>
      <c r="R22" s="16">
        <f>IF($B22="-","-",VLOOKUP(ROUND(CONCATENATE($A22,R$2),0),'Cadastro - Padrões'!$A$2:$T$1160,R$1,FALSE))</f>
        <v>6.29310529764046E-9</v>
      </c>
      <c r="S22" s="16">
        <f>IF($B22="-","-",VLOOKUP(ROUND(CONCATENATE($A22,S$2),0),'Cadastro - Padrões'!$A$2:$T$1160,S$1,FALSE))</f>
        <v>-1.6567825201869858E-5</v>
      </c>
      <c r="T22" s="16">
        <f>IF($B22="-","-",VLOOKUP(ROUND(CONCATENATE($A22,T$2),0),'Cadastro - Padrões'!$A$2:$T$1160,T$1,FALSE))</f>
        <v>1.0138683994396074</v>
      </c>
      <c r="U22" s="16">
        <f>IF($B22="-","-",VLOOKUP(ROUND(CONCATENATE($A22,U$2),0),'Cadastro - Padrões'!$A$2:$T$1160,U$1,FALSE))</f>
        <v>-3.7892158383123666</v>
      </c>
      <c r="V22" s="16">
        <f>IF($B22="-","-",IF(VLOOKUP(ROUND(CONCATENATE($A22,V$2),0),'Cadastro - Padrões'!$A$2:$T$1160,V$1,FALSE)="","-",VLOOKUP(ROUND(CONCATENATE($A22,V$2),0),'Cadastro - Padrões'!$A$2:$T$1160,V$1,FALSE)))</f>
        <v>500.8</v>
      </c>
      <c r="W22" s="16">
        <f>IF($B22="-","-",IF(VLOOKUP(ROUND(CONCATENATE($A22,W$2),0),'Cadastro - Padrões'!$A$2:$T$1160,W$1,FALSE)="","-",VLOOKUP(ROUND(CONCATENATE($A22,W$2),0),'Cadastro - Padrões'!$A$2:$T$1160,W$1,FALSE)))</f>
        <v>0.2</v>
      </c>
      <c r="X22" s="16">
        <f>IF($B22="-","-",IF(VLOOKUP(ROUND(CONCATENATE($A22,X$2),0),'Cadastro - Padrões'!$A$2:$T$1160,X$1,FALSE)="","-",VLOOKUP(ROUND(CONCATENATE($A22,X$2),0),'Cadastro - Padrões'!$A$2:$T$1160,X$1,FALSE)))</f>
        <v>2</v>
      </c>
      <c r="Y22" s="16">
        <f>IF($B22="-","-",IF(VLOOKUP(ROUND(CONCATENATE($A22,Y$2),0),'Cadastro - Padrões'!$A$2:$T$1160,Y$1,FALSE)="","-",VLOOKUP(ROUND(CONCATENATE($A22,Y$2),0),'Cadastro - Padrões'!$A$2:$T$1160,Y$1,FALSE)))</f>
        <v>1000000</v>
      </c>
      <c r="Z22" s="16">
        <f>IF($B22="-","-",IF(VLOOKUP(ROUND(CONCATENATE($A22,Z$2),0),'Cadastro - Padrões'!$A$2:$T$1160,Z$1,FALSE)="","-",VLOOKUP(ROUND(CONCATENATE($A22,Z$2),0),'Cadastro - Padrões'!$A$2:$T$1160,Z$1,FALSE)))</f>
        <v>599.9</v>
      </c>
      <c r="AA22" s="16">
        <f>IF($B22="-","-",IF(VLOOKUP(ROUND(CONCATENATE($A22,AA$2),0),'Cadastro - Padrões'!$A$2:$T$1160,AA$1,FALSE)="","-",VLOOKUP(ROUND(CONCATENATE($A22,AA$2),0),'Cadastro - Padrões'!$A$2:$T$1160,AA$1,FALSE)))</f>
        <v>0.2</v>
      </c>
      <c r="AB22" s="16">
        <f>IF($B22="-","-",IF(VLOOKUP(ROUND(CONCATENATE($A22,AB$2),0),'Cadastro - Padrões'!$A$2:$T$1160,AB$1,FALSE)="","-",VLOOKUP(ROUND(CONCATENATE($A22,AB$2),0),'Cadastro - Padrões'!$A$2:$T$1160,AB$1,FALSE)))</f>
        <v>2</v>
      </c>
      <c r="AC22" s="16">
        <f>IF($B22="-","-",IF(VLOOKUP(ROUND(CONCATENATE($A22,AC$2),0),'Cadastro - Padrões'!$A$2:$T$1160,AC$1,FALSE)="","-",VLOOKUP(ROUND(CONCATENATE($A22,AC$2),0),'Cadastro - Padrões'!$A$2:$T$1160,AC$1,FALSE)))</f>
        <v>1000000</v>
      </c>
      <c r="AD22" s="16">
        <f>IF($B22="-","-",IF(VLOOKUP(ROUND(CONCATENATE($A22,AD$2),0),'Cadastro - Padrões'!$A$2:$T$1160,AD$1,FALSE)="","-",VLOOKUP(ROUND(CONCATENATE($A22,AD$2),0),'Cadastro - Padrões'!$A$2:$T$1160,AD$1,FALSE)))</f>
        <v>699.99</v>
      </c>
      <c r="AE22" s="16">
        <f>IF($B22="-","-",IF(VLOOKUP(ROUND(CONCATENATE($A22,AE$2),0),'Cadastro - Padrões'!$A$2:$T$1160,AE$1,FALSE)="","-",VLOOKUP(ROUND(CONCATENATE($A22,AE$2),0),'Cadastro - Padrões'!$A$2:$T$1160,AE$1,FALSE)))</f>
        <v>0.2</v>
      </c>
      <c r="AF22" s="16">
        <f>IF($B22="-","-",IF(VLOOKUP(ROUND(CONCATENATE($A22,AF$2),0),'Cadastro - Padrões'!$A$2:$T$1160,AF$1,FALSE)="","-",VLOOKUP(ROUND(CONCATENATE($A22,AF$2),0),'Cadastro - Padrões'!$A$2:$T$1160,AF$1,FALSE)))</f>
        <v>2</v>
      </c>
      <c r="AG22" s="16">
        <f>IF($B22="-","-",IF(VLOOKUP(ROUND(CONCATENATE($A22,AG$2),0),'Cadastro - Padrões'!$A$2:$T$1160,AG$1,FALSE)="","-",VLOOKUP(ROUND(CONCATENATE($A22,AG$2),0),'Cadastro - Padrões'!$A$2:$T$1160,AG$1,FALSE)))</f>
        <v>1000000</v>
      </c>
      <c r="AH22" s="16">
        <f>IF($B22="-","-",IF(VLOOKUP(ROUND(CONCATENATE($A22,AH$2),0),'Cadastro - Padrões'!$A$2:$T$1160,AH$1,FALSE)="","-",VLOOKUP(ROUND(CONCATENATE($A22,AH$2),0),'Cadastro - Padrões'!$A$2:$T$1160,AH$1,FALSE)))</f>
        <v>799.9</v>
      </c>
      <c r="AI22" s="16">
        <f>IF($B22="-","-",IF(VLOOKUP(ROUND(CONCATENATE($A22,AI$2),0),'Cadastro - Padrões'!$A$2:$T$1160,AI$1,FALSE)="","-",VLOOKUP(ROUND(CONCATENATE($A22,AI$2),0),'Cadastro - Padrões'!$A$2:$T$1160,AI$1,FALSE)))</f>
        <v>0.2</v>
      </c>
      <c r="AJ22" s="16">
        <f>IF($B22="-","-",IF(VLOOKUP(ROUND(CONCATENATE($A22,AJ$2),0),'Cadastro - Padrões'!$A$2:$T$1160,AJ$1,FALSE)="","-",VLOOKUP(ROUND(CONCATENATE($A22,AJ$2),0),'Cadastro - Padrões'!$A$2:$T$1160,AJ$1,FALSE)))</f>
        <v>2</v>
      </c>
      <c r="AK22" s="16">
        <f>IF($B22="-","-",IF(VLOOKUP(ROUND(CONCATENATE($A22,AK$2),0),'Cadastro - Padrões'!$A$2:$T$1160,AK$1,FALSE)="","-",VLOOKUP(ROUND(CONCATENATE($A22,AK$2),0),'Cadastro - Padrões'!$A$2:$T$1160,AK$1,FALSE)))</f>
        <v>1000000</v>
      </c>
      <c r="AL22" s="16">
        <f>IF($B22="-","-",IF(VLOOKUP(ROUND(CONCATENATE($A22,AL$2),0),'Cadastro - Padrões'!$A$2:$T$1160,AL$1,FALSE)="","-",VLOOKUP(ROUND(CONCATENATE($A22,AL$2),0),'Cadastro - Padrões'!$A$2:$T$1160,AL$1,FALSE)))</f>
        <v>899.9</v>
      </c>
      <c r="AM22" s="16">
        <f>IF($B22="-","-",IF(VLOOKUP(ROUND(CONCATENATE($A22,AM$2),0),'Cadastro - Padrões'!$A$2:$T$1160,AM$1,FALSE)="","-",VLOOKUP(ROUND(CONCATENATE($A22,AM$2),0),'Cadastro - Padrões'!$A$2:$T$1160,AM$1,FALSE)))</f>
        <v>0.2</v>
      </c>
      <c r="AN22" s="16">
        <f>IF($B22="-","-",IF(VLOOKUP(ROUND(CONCATENATE($A22,AN$2),0),'Cadastro - Padrões'!$A$2:$T$1160,AN$1,FALSE)="","-",VLOOKUP(ROUND(CONCATENATE($A22,AN$2),0),'Cadastro - Padrões'!$A$2:$T$1160,AN$1,FALSE)))</f>
        <v>2</v>
      </c>
      <c r="AO22" s="16">
        <f>IF($B22="-","-",IF(VLOOKUP(ROUND(CONCATENATE($A22,AO$2),0),'Cadastro - Padrões'!$A$2:$T$1160,AO$1,FALSE)="","-",VLOOKUP(ROUND(CONCATENATE($A22,AO$2),0),'Cadastro - Padrões'!$A$2:$T$1160,AO$1,FALSE)))</f>
        <v>1000000</v>
      </c>
      <c r="AP22" s="16">
        <f>IF($B22="-","-",IF(VLOOKUP(ROUND(CONCATENATE($A22,AP$2),0),'Cadastro - Padrões'!$A$2:$T$1160,AP$1,FALSE)="","-",VLOOKUP(ROUND(CONCATENATE($A22,AP$2),0),'Cadastro - Padrões'!$A$2:$T$1160,AP$1,FALSE)))</f>
        <v>949.8</v>
      </c>
      <c r="AQ22" s="16">
        <f>IF($B22="-","-",IF(VLOOKUP(ROUND(CONCATENATE($A22,AQ$2),0),'Cadastro - Padrões'!$A$2:$T$1160,AQ$1,FALSE)="","-",VLOOKUP(ROUND(CONCATENATE($A22,AQ$2),0),'Cadastro - Padrões'!$A$2:$T$1160,AQ$1,FALSE)))</f>
        <v>0.2</v>
      </c>
      <c r="AR22" s="16">
        <f>IF($B22="-","-",IF(VLOOKUP(ROUND(CONCATENATE($A22,AR$2),0),'Cadastro - Padrões'!$A$2:$T$1160,AR$1,FALSE)="","-",VLOOKUP(ROUND(CONCATENATE($A22,AR$2),0),'Cadastro - Padrões'!$A$2:$T$1160,AR$1,FALSE)))</f>
        <v>2</v>
      </c>
      <c r="AS22" s="16">
        <f>IF($B22="-","-",IF(VLOOKUP(ROUND(CONCATENATE($A22,AS$2),0),'Cadastro - Padrões'!$A$2:$T$1160,AS$1,FALSE)="","-",VLOOKUP(ROUND(CONCATENATE($A22,AS$2),0),'Cadastro - Padrões'!$A$2:$T$1160,AS$1,FALSE)))</f>
        <v>1000000</v>
      </c>
      <c r="AT22" s="16">
        <f>IF($B22="-","-",IF(VLOOKUP(ROUND(CONCATENATE($A22,AT$2),0),'Cadastro - Padrões'!$A$2:$T$1160,AT$1,FALSE)="","-",VLOOKUP(ROUND(CONCATENATE($A22,AT$2),0),'Cadastro - Padrões'!$A$2:$T$1160,AT$1,FALSE)))</f>
        <v>999.8</v>
      </c>
      <c r="AU22" s="16">
        <f>IF($B22="-","-",IF(VLOOKUP(ROUND(CONCATENATE($A22,AU$2),0),'Cadastro - Padrões'!$A$2:$T$1160,AU$1,FALSE)="","-",VLOOKUP(ROUND(CONCATENATE($A22,AU$2),0),'Cadastro - Padrões'!$A$2:$T$1160,AU$1,FALSE)))</f>
        <v>0.2</v>
      </c>
      <c r="AV22" s="16">
        <f>IF($B22="-","-",IF(VLOOKUP(ROUND(CONCATENATE($A22,AV$2),0),'Cadastro - Padrões'!$A$2:$T$1160,AV$1,FALSE)="","-",VLOOKUP(ROUND(CONCATENATE($A22,AV$2),0),'Cadastro - Padrões'!$A$2:$T$1160,AV$1,FALSE)))</f>
        <v>2</v>
      </c>
      <c r="AW22" s="16">
        <f>IF($B22="-","-",IF(VLOOKUP(ROUND(CONCATENATE($A22,AW$2),0),'Cadastro - Padrões'!$A$2:$T$1160,AW$1,FALSE)="","-",VLOOKUP(ROUND(CONCATENATE($A22,AW$2),0),'Cadastro - Padrões'!$A$2:$T$1160,AW$1,FALSE)))</f>
        <v>1000000</v>
      </c>
      <c r="AX22" s="16">
        <f>IF($B22="-","-",IF(VLOOKUP(ROUND(CONCATENATE($A22,AX$2),0),'Cadastro - Padrões'!$A$2:$T$1160,AX$1,FALSE)="","-",VLOOKUP(ROUND(CONCATENATE($A22,AX$2),0),'Cadastro - Padrões'!$A$2:$T$1160,AX$1,FALSE)))</f>
        <v>1099.8</v>
      </c>
      <c r="AY22" s="16">
        <f>IF($B22="-","-",IF(VLOOKUP(ROUND(CONCATENATE($A22,AY$2),0),'Cadastro - Padrões'!$A$2:$T$1160,AY$1,FALSE)="","-",VLOOKUP(ROUND(CONCATENATE($A22,AY$2),0),'Cadastro - Padrões'!$A$2:$T$1160,AY$1,FALSE)))</f>
        <v>0.2</v>
      </c>
      <c r="AZ22" s="16">
        <f>IF($B22="-","-",IF(VLOOKUP(ROUND(CONCATENATE($A22,AZ$2),0),'Cadastro - Padrões'!$A$2:$T$1160,AZ$1,FALSE)="","-",VLOOKUP(ROUND(CONCATENATE($A22,AZ$2),0),'Cadastro - Padrões'!$A$2:$T$1160,AZ$1,FALSE)))</f>
        <v>2</v>
      </c>
      <c r="BA22" s="16">
        <f>IF($B22="-","-",IF(VLOOKUP(ROUND(CONCATENATE($A22,BA$2),0),'Cadastro - Padrões'!$A$2:$T$1160,BA$1,FALSE)="","-",VLOOKUP(ROUND(CONCATENATE($A22,BA$2),0),'Cadastro - Padrões'!$A$2:$T$1160,BA$1,FALSE)))</f>
        <v>1000000</v>
      </c>
      <c r="BB22" s="16" t="str">
        <f>IF($B22="-","-",IF(VLOOKUP(ROUND(CONCATENATE($A22,BB$2),0),'Cadastro - Padrões'!$A$2:$T$1160,BB$1,FALSE)="","-",VLOOKUP(ROUND(CONCATENATE($A22,BB$2),0),'Cadastro - Padrões'!$A$2:$T$1160,BB$1,FALSE)))</f>
        <v>-</v>
      </c>
      <c r="BC22" s="16" t="str">
        <f>IF($B22="-","-",IF(VLOOKUP(ROUND(CONCATENATE($A22,BC$2),0),'Cadastro - Padrões'!$A$2:$T$1160,BC$1,FALSE)="","-",VLOOKUP(ROUND(CONCATENATE($A22,BC$2),0),'Cadastro - Padrões'!$A$2:$T$1160,BC$1,FALSE)))</f>
        <v>-</v>
      </c>
      <c r="BD22" s="16" t="str">
        <f>IF($B22="-","-",IF(VLOOKUP(ROUND(CONCATENATE($A22,BD$2),0),'Cadastro - Padrões'!$A$2:$T$1160,BD$1,FALSE)="","-",VLOOKUP(ROUND(CONCATENATE($A22,BD$2),0),'Cadastro - Padrões'!$A$2:$T$1160,BD$1,FALSE)))</f>
        <v>-</v>
      </c>
      <c r="BE22" s="16" t="str">
        <f>IF($B22="-","-",IF(VLOOKUP(ROUND(CONCATENATE($A22,BE$2),0),'Cadastro - Padrões'!$A$2:$T$1160,BE$1,FALSE)="","-",VLOOKUP(ROUND(CONCATENATE($A22,BE$2),0),'Cadastro - Padrões'!$A$2:$T$1160,BE$1,FALSE)))</f>
        <v>-</v>
      </c>
      <c r="BF22" s="16" t="str">
        <f>IF($B22="-","-",IF(VLOOKUP(ROUND(CONCATENATE($A22,BF$2),0),'Cadastro - Padrões'!$A$2:$T$1160,BF$1,FALSE)="","-",VLOOKUP(ROUND(CONCATENATE($A22,BF$2),0),'Cadastro - Padrões'!$A$2:$T$1160,BF$1,FALSE)))</f>
        <v>-</v>
      </c>
      <c r="BG22" s="16" t="str">
        <f>IF($B22="-","-",IF(VLOOKUP(ROUND(CONCATENATE($A22,BG$2),0),'Cadastro - Padrões'!$A$2:$T$1160,BG$1,FALSE)="","-",VLOOKUP(ROUND(CONCATENATE($A22,BG$2),0),'Cadastro - Padrões'!$A$2:$T$1160,BG$1,FALSE)))</f>
        <v>-</v>
      </c>
      <c r="BH22" s="16" t="str">
        <f>IF($B22="-","-",IF(VLOOKUP(ROUND(CONCATENATE($A22,BH$2),0),'Cadastro - Padrões'!$A$2:$T$1160,BH$1,FALSE)="","-",VLOOKUP(ROUND(CONCATENATE($A22,BH$2),0),'Cadastro - Padrões'!$A$2:$T$1160,BH$1,FALSE)))</f>
        <v>-</v>
      </c>
      <c r="BI22" s="16" t="str">
        <f>IF($B22="-","-",IF(VLOOKUP(ROUND(CONCATENATE($A22,BI$2),0),'Cadastro - Padrões'!$A$2:$T$1160,BI$1,FALSE)="","-",VLOOKUP(ROUND(CONCATENATE($A22,BI$2),0),'Cadastro - Padrões'!$A$2:$T$1160,BI$1,FALSE)))</f>
        <v>-</v>
      </c>
      <c r="BJ22" s="16" t="str">
        <f>IF($B22="-","-",IF(VLOOKUP(ROUND(CONCATENATE($A22,BJ$2),0),'Cadastro - Padrões'!$A$2:$T$1160,BJ$1,FALSE)="","-",VLOOKUP(ROUND(CONCATENATE($A22,BJ$2),0),'Cadastro - Padrões'!$A$2:$T$1160,BJ$1,FALSE)))</f>
        <v>-</v>
      </c>
      <c r="BK22" s="16" t="str">
        <f>IF($B22="-","-",IF(VLOOKUP(ROUND(CONCATENATE($A22,BK$2),0),'Cadastro - Padrões'!$A$2:$T$1160,BK$1,FALSE)="","-",VLOOKUP(ROUND(CONCATENATE($A22,BK$2),0),'Cadastro - Padrões'!$A$2:$T$1160,BK$1,FALSE)))</f>
        <v>-</v>
      </c>
      <c r="BL22" s="16" t="str">
        <f>IF($B22="-","-",IF(VLOOKUP(ROUND(CONCATENATE($A22,BL$2),0),'Cadastro - Padrões'!$A$2:$T$1160,BL$1,FALSE)="","-",VLOOKUP(ROUND(CONCATENATE($A22,BL$2),0),'Cadastro - Padrões'!$A$2:$T$1160,BL$1,FALSE)))</f>
        <v>-</v>
      </c>
      <c r="BM22" s="16" t="str">
        <f>IF($B22="-","-",IF(VLOOKUP(ROUND(CONCATENATE($A22,BM$2),0),'Cadastro - Padrões'!$A$2:$T$1160,BM$1,FALSE)="","-",VLOOKUP(ROUND(CONCATENATE($A22,BM$2),0),'Cadastro - Padrões'!$A$2:$T$1160,BM$1,FALSE)))</f>
        <v>-</v>
      </c>
      <c r="BN22" s="16" t="str">
        <f>IF($B22="-","-",IF(VLOOKUP(ROUND(CONCATENATE($A22,BN$2),0),'Cadastro - Padrões'!$A$2:$T$1160,BN$1,FALSE)="","-",VLOOKUP(ROUND(CONCATENATE($A22,BN$2),0),'Cadastro - Padrões'!$A$2:$T$1160,BN$1,FALSE)))</f>
        <v>-</v>
      </c>
      <c r="BO22" s="16" t="str">
        <f>IF($B22="-","-",IF(VLOOKUP(ROUND(CONCATENATE($A22,BO$2),0),'Cadastro - Padrões'!$A$2:$T$1160,BO$1,FALSE)="","-",VLOOKUP(ROUND(CONCATENATE($A22,BO$2),0),'Cadastro - Padrões'!$A$2:$T$1160,BO$1,FALSE)))</f>
        <v>-</v>
      </c>
      <c r="BP22" s="16" t="str">
        <f>IF($B22="-","-",IF(VLOOKUP(ROUND(CONCATENATE($A22,BP$2),0),'Cadastro - Padrões'!$A$2:$T$1160,BP$1,FALSE)="","-",VLOOKUP(ROUND(CONCATENATE($A22,BP$2),0),'Cadastro - Padrões'!$A$2:$T$1160,BP$1,FALSE)))</f>
        <v>-</v>
      </c>
      <c r="BQ22" s="16" t="str">
        <f>IF($B22="-","-",IF(VLOOKUP(ROUND(CONCATENATE($A22,BQ$2),0),'Cadastro - Padrões'!$A$2:$T$1160,BQ$1,FALSE)="","-",VLOOKUP(ROUND(CONCATENATE($A22,BQ$2),0),'Cadastro - Padrões'!$A$2:$T$1160,BQ$1,FALSE)))</f>
        <v>-</v>
      </c>
      <c r="BR22" s="16" t="str">
        <f>IF($B22="-","-",IF(VLOOKUP(ROUND(CONCATENATE($A22,BR$2),0),'Cadastro - Padrões'!$A$2:$T$1160,BR$1,FALSE)="","-",VLOOKUP(ROUND(CONCATENATE($A22,BR$2),0),'Cadastro - Padrões'!$A$2:$T$1160,BR$1,FALSE)))</f>
        <v>-</v>
      </c>
      <c r="BS22" s="16" t="str">
        <f>IF($B22="-","-",IF(VLOOKUP(ROUND(CONCATENATE($A22,BS$2),0),'Cadastro - Padrões'!$A$2:$T$1160,BS$1,FALSE)="","-",VLOOKUP(ROUND(CONCATENATE($A22,BS$2),0),'Cadastro - Padrões'!$A$2:$T$1160,BS$1,FALSE)))</f>
        <v>-</v>
      </c>
      <c r="BT22" s="16" t="str">
        <f>IF($B22="-","-",IF(VLOOKUP(ROUND(CONCATENATE($A22,BT$2),0),'Cadastro - Padrões'!$A$2:$T$1160,BT$1,FALSE)="","-",VLOOKUP(ROUND(CONCATENATE($A22,BT$2),0),'Cadastro - Padrões'!$A$2:$T$1160,BT$1,FALSE)))</f>
        <v>-</v>
      </c>
      <c r="BU22" s="16" t="str">
        <f>IF($B22="-","-",IF(VLOOKUP(ROUND(CONCATENATE($A22,BU$2),0),'Cadastro - Padrões'!$A$2:$T$1160,BU$1,FALSE)="","-",VLOOKUP(ROUND(CONCATENATE($A22,BU$2),0),'Cadastro - Padrões'!$A$2:$T$1160,BU$1,FALSE)))</f>
        <v>-</v>
      </c>
      <c r="BV22" s="16" t="str">
        <f>IF($B22="-","-",IF(VLOOKUP(ROUND(CONCATENATE($A22,BV$2),0),'Cadastro - Padrões'!$A$2:$T$1160,BV$1,FALSE)="","-",VLOOKUP(ROUND(CONCATENATE($A22,BV$2),0),'Cadastro - Padrões'!$A$2:$T$1160,BV$1,FALSE)))</f>
        <v>-</v>
      </c>
      <c r="BW22" s="16" t="str">
        <f>IF($B22="-","-",IF(VLOOKUP(ROUND(CONCATENATE($A22,BW$2),0),'Cadastro - Padrões'!$A$2:$T$1160,BW$1,FALSE)="","-",VLOOKUP(ROUND(CONCATENATE($A22,BW$2),0),'Cadastro - Padrões'!$A$2:$T$1160,BW$1,FALSE)))</f>
        <v>-</v>
      </c>
      <c r="BX22" s="16" t="str">
        <f>IF($B22="-","-",IF(VLOOKUP(ROUND(CONCATENATE($A22,BX$2),0),'Cadastro - Padrões'!$A$2:$T$1160,BX$1,FALSE)="","-",VLOOKUP(ROUND(CONCATENATE($A22,BX$2),0),'Cadastro - Padrões'!$A$2:$T$1160,BX$1,FALSE)))</f>
        <v>-</v>
      </c>
      <c r="BY22" s="16" t="str">
        <f>IF($B22="-","-",IF(VLOOKUP(ROUND(CONCATENATE($A22,BY$2),0),'Cadastro - Padrões'!$A$2:$T$1160,BY$1,FALSE)="","-",VLOOKUP(ROUND(CONCATENATE($A22,BY$2),0),'Cadastro - Padrões'!$A$2:$T$1160,BY$1,FALSE)))</f>
        <v>-</v>
      </c>
      <c r="BZ22" s="16" t="str">
        <f>IF($B22="-","-",IF(VLOOKUP(ROUND(CONCATENATE($A22,BZ$2),0),'Cadastro - Padrões'!$A$2:$T$1160,BZ$1,FALSE)="","-",VLOOKUP(ROUND(CONCATENATE($A22,BZ$2),0),'Cadastro - Padrões'!$A$2:$T$1160,BZ$1,FALSE)))</f>
        <v>-</v>
      </c>
      <c r="CA22" s="16" t="str">
        <f>IF($B22="-","-",IF(VLOOKUP(ROUND(CONCATENATE($A22,CA$2),0),'Cadastro - Padrões'!$A$2:$T$1160,CA$1,FALSE)="","-",VLOOKUP(ROUND(CONCATENATE($A22,CA$2),0),'Cadastro - Padrões'!$A$2:$T$1160,CA$1,FALSE)))</f>
        <v>-</v>
      </c>
      <c r="CB22" s="16" t="str">
        <f>IF($B22="-","-",IF(VLOOKUP(ROUND(CONCATENATE($A22,CB$2),0),'Cadastro - Padrões'!$A$2:$T$1160,CB$1,FALSE)="","-",VLOOKUP(ROUND(CONCATENATE($A22,CB$2),0),'Cadastro - Padrões'!$A$2:$T$1160,CB$1,FALSE)))</f>
        <v>-</v>
      </c>
      <c r="CC22" s="16" t="str">
        <f>IF($B22="-","-",IF(VLOOKUP(ROUND(CONCATENATE($A22,CC$2),0),'Cadastro - Padrões'!$A$2:$T$1160,CC$1,FALSE)="","-",VLOOKUP(ROUND(CONCATENATE($A22,CC$2),0),'Cadastro - Padrões'!$A$2:$T$1160,CC$1,FALSE)))</f>
        <v>-</v>
      </c>
    </row>
    <row r="23" spans="1:81" x14ac:dyDescent="0.3">
      <c r="A23" s="15">
        <f t="shared" si="82"/>
        <v>18</v>
      </c>
      <c r="B23" s="16" t="str">
        <f>IF(VLOOKUP(ROUND(CONCATENATE($A23,B$2),0),'Cadastro - Padrões'!$A$2:$T$1160,B$1,FALSE)="","-",VLOOKUP(ROUND(CONCATENATE($A23,B$2),0),'Cadastro - Padrões'!$A$2:$T$1160,B$1,FALSE))</f>
        <v>M.MS.LM-015</v>
      </c>
      <c r="C23" s="16" t="str">
        <f>IF(VLOOKUP(ROUND(CONCATENATE($A23,C$2),0),'Cadastro - Padrões'!$A$2:$T$1160,C$1,FALSE)="","-",VLOOKUP(ROUND(CONCATENATE($A23,C$2),0),'Cadastro - Padrões'!$A$2:$T$1160,C$1,FALSE))</f>
        <v>Barômetro Digital</v>
      </c>
      <c r="D23" s="16" t="str">
        <f>IF($B23="-","-",VLOOKUP(ROUND(CONCATENATE($A23,D$2),0),'Cadastro - Padrões'!$A$2:$T$1160,D$1,FALSE))</f>
        <v>Elus</v>
      </c>
      <c r="E23" s="16" t="str">
        <f>IF($B23="-","-",VLOOKUP(ROUND(CONCATENATE($A23,E$2),0),'Cadastro - Padrões'!$A$2:$T$1160,E$1,FALSE))</f>
        <v>RBC - CAL 0439</v>
      </c>
      <c r="F23" s="16" t="str">
        <f>IF($B23="-","-",VLOOKUP(ROUND(CONCATENATE($A23,F$2),0),'Cadastro - Padrões'!$A$2:$T$1160,F$1,FALSE))</f>
        <v>E0225/25</v>
      </c>
      <c r="G23" s="17">
        <f>IF($B23="-","-",VLOOKUP(ROUND(CONCATENATE($A23,G$2),0),'Cadastro - Padrões'!$A$2:$T$1160,G$1,FALSE))</f>
        <v>45777</v>
      </c>
      <c r="H23" s="18">
        <f>IF($B23="-","-",VLOOKUP(ROUND(CONCATENATE($A23,H$2),0),'Cadastro - Padrões'!$A$2:$T$1160,H$1,FALSE))</f>
        <v>46507</v>
      </c>
      <c r="I23" s="16" t="str">
        <f>IF($B23="-","-",VLOOKUP(ROUND(CONCATENATE($A23,I$2),0),'Cadastro - Padrões'!$A$2:$T$1160,I$1,FALSE))</f>
        <v>hPa</v>
      </c>
      <c r="J23" s="16">
        <f>IF($B23="-","-",VLOOKUP(ROUND(CONCATENATE($A23,J$2),0),'Cadastro - Padrões'!$A$2:$T$1160,J$1,FALSE))</f>
        <v>501.2</v>
      </c>
      <c r="K23" s="16">
        <f>IF($B23="-","-",VLOOKUP(ROUND(CONCATENATE($A23,K$2),0),'Cadastro - Padrões'!$A$2:$T$1160,K$1,FALSE))</f>
        <v>1099.3</v>
      </c>
      <c r="L23" s="16">
        <f>IF($B23="-","-",VLOOKUP(ROUND(CONCATENATE($A23,L$2),0),'Cadastro - Padrões'!$A$2:$T$1160,L$1,FALSE))</f>
        <v>0.1</v>
      </c>
      <c r="M23" s="19">
        <f>IF($B23="-","-",VLOOKUP(ROUND(CONCATENATE($A23,M$2),0),'Cadastro - Padrões'!$A$2:$T$1160,M$1,FALSE))</f>
        <v>0.29999999999995453</v>
      </c>
      <c r="N23" s="16">
        <f>IF($B23="-","-",VLOOKUP(ROUND(CONCATENATE($A23,N$2),0),'Cadastro - Padrões'!$A$2:$T$1160,N$1,FALSE))</f>
        <v>0.2</v>
      </c>
      <c r="O23" s="19">
        <f>IF($B23="-","-",VLOOKUP(ROUND(CONCATENATE($A23,O$2),0),'Cadastro - Padrões'!$A$2:$T$1160,O$1,FALSE))</f>
        <v>0.29999999999995453</v>
      </c>
      <c r="P23" s="16">
        <f>IF($B23="-","-",VLOOKUP(ROUND(CONCATENATE($A23,P$2),0),'Cadastro - Padrões'!$A$2:$T$1160,P$1,FALSE))</f>
        <v>4.00845254424083E-2</v>
      </c>
      <c r="Q23" s="16">
        <f>IF($B23="-","-",VLOOKUP(ROUND(CONCATENATE($A23,Q$2),0),'Cadastro - Padrões'!$A$2:$T$1160,Q$1,FALSE))</f>
        <v>3</v>
      </c>
      <c r="R23" s="16">
        <f>IF($B23="-","-",VLOOKUP(ROUND(CONCATENATE($A23,R$2),0),'Cadastro - Padrões'!$A$2:$T$1160,R$1,FALSE))</f>
        <v>4.8746548515543508E-9</v>
      </c>
      <c r="S23" s="16">
        <f>IF($B23="-","-",VLOOKUP(ROUND(CONCATENATE($A23,S$2),0),'Cadastro - Padrões'!$A$2:$T$1160,S$1,FALSE))</f>
        <v>-1.2168607075886795E-5</v>
      </c>
      <c r="T23" s="16">
        <f>IF($B23="-","-",VLOOKUP(ROUND(CONCATENATE($A23,T$2),0),'Cadastro - Padrões'!$A$2:$T$1160,T$1,FALSE))</f>
        <v>1.0098455249487905</v>
      </c>
      <c r="U23" s="16">
        <f>IF($B23="-","-",VLOOKUP(ROUND(CONCATENATE($A23,U$2),0),'Cadastro - Padrões'!$A$2:$T$1160,U$1,FALSE))</f>
        <v>-2.2887439353229531</v>
      </c>
      <c r="V23" s="16">
        <f>IF($B23="-","-",IF(VLOOKUP(ROUND(CONCATENATE($A23,V$2),0),'Cadastro - Padrões'!$A$2:$T$1160,V$1,FALSE)="","-",VLOOKUP(ROUND(CONCATENATE($A23,V$2),0),'Cadastro - Padrões'!$A$2:$T$1160,V$1,FALSE)))</f>
        <v>501.2</v>
      </c>
      <c r="W23" s="16">
        <f>IF($B23="-","-",IF(VLOOKUP(ROUND(CONCATENATE($A23,W$2),0),'Cadastro - Padrões'!$A$2:$T$1160,W$1,FALSE)="","-",VLOOKUP(ROUND(CONCATENATE($A23,W$2),0),'Cadastro - Padrões'!$A$2:$T$1160,W$1,FALSE)))</f>
        <v>0.2</v>
      </c>
      <c r="X23" s="16">
        <f>IF($B23="-","-",IF(VLOOKUP(ROUND(CONCATENATE($A23,X$2),0),'Cadastro - Padrões'!$A$2:$T$1160,X$1,FALSE)="","-",VLOOKUP(ROUND(CONCATENATE($A23,X$2),0),'Cadastro - Padrões'!$A$2:$T$1160,X$1,FALSE)))</f>
        <v>2</v>
      </c>
      <c r="Y23" s="16">
        <f>IF($B23="-","-",IF(VLOOKUP(ROUND(CONCATENATE($A23,Y$2),0),'Cadastro - Padrões'!$A$2:$T$1160,Y$1,FALSE)="","-",VLOOKUP(ROUND(CONCATENATE($A23,Y$2),0),'Cadastro - Padrões'!$A$2:$T$1160,Y$1,FALSE)))</f>
        <v>1000000</v>
      </c>
      <c r="Z23" s="16">
        <f>IF($B23="-","-",IF(VLOOKUP(ROUND(CONCATENATE($A23,Z$2),0),'Cadastro - Padrões'!$A$2:$T$1160,Z$1,FALSE)="","-",VLOOKUP(ROUND(CONCATENATE($A23,Z$2),0),'Cadastro - Padrões'!$A$2:$T$1160,Z$1,FALSE)))</f>
        <v>600.29999999999995</v>
      </c>
      <c r="AA23" s="16">
        <f>IF($B23="-","-",IF(VLOOKUP(ROUND(CONCATENATE($A23,AA$2),0),'Cadastro - Padrões'!$A$2:$T$1160,AA$1,FALSE)="","-",VLOOKUP(ROUND(CONCATENATE($A23,AA$2),0),'Cadastro - Padrões'!$A$2:$T$1160,AA$1,FALSE)))</f>
        <v>0.2</v>
      </c>
      <c r="AB23" s="16">
        <f>IF($B23="-","-",IF(VLOOKUP(ROUND(CONCATENATE($A23,AB$2),0),'Cadastro - Padrões'!$A$2:$T$1160,AB$1,FALSE)="","-",VLOOKUP(ROUND(CONCATENATE($A23,AB$2),0),'Cadastro - Padrões'!$A$2:$T$1160,AB$1,FALSE)))</f>
        <v>2</v>
      </c>
      <c r="AC23" s="16">
        <f>IF($B23="-","-",IF(VLOOKUP(ROUND(CONCATENATE($A23,AC$2),0),'Cadastro - Padrões'!$A$2:$T$1160,AC$1,FALSE)="","-",VLOOKUP(ROUND(CONCATENATE($A23,AC$2),0),'Cadastro - Padrões'!$A$2:$T$1160,AC$1,FALSE)))</f>
        <v>1000000</v>
      </c>
      <c r="AD23" s="16">
        <f>IF($B23="-","-",IF(VLOOKUP(ROUND(CONCATENATE($A23,AD$2),0),'Cadastro - Padrões'!$A$2:$T$1160,AD$1,FALSE)="","-",VLOOKUP(ROUND(CONCATENATE($A23,AD$2),0),'Cadastro - Padrões'!$A$2:$T$1160,AD$1,FALSE)))</f>
        <v>700.3</v>
      </c>
      <c r="AE23" s="16">
        <f>IF($B23="-","-",IF(VLOOKUP(ROUND(CONCATENATE($A23,AE$2),0),'Cadastro - Padrões'!$A$2:$T$1160,AE$1,FALSE)="","-",VLOOKUP(ROUND(CONCATENATE($A23,AE$2),0),'Cadastro - Padrões'!$A$2:$T$1160,AE$1,FALSE)))</f>
        <v>0.2</v>
      </c>
      <c r="AF23" s="16">
        <f>IF($B23="-","-",IF(VLOOKUP(ROUND(CONCATENATE($A23,AF$2),0),'Cadastro - Padrões'!$A$2:$T$1160,AF$1,FALSE)="","-",VLOOKUP(ROUND(CONCATENATE($A23,AF$2),0),'Cadastro - Padrões'!$A$2:$T$1160,AF$1,FALSE)))</f>
        <v>2</v>
      </c>
      <c r="AG23" s="16">
        <f>IF($B23="-","-",IF(VLOOKUP(ROUND(CONCATENATE($A23,AG$2),0),'Cadastro - Padrões'!$A$2:$T$1160,AG$1,FALSE)="","-",VLOOKUP(ROUND(CONCATENATE($A23,AG$2),0),'Cadastro - Padrões'!$A$2:$T$1160,AG$1,FALSE)))</f>
        <v>1000000</v>
      </c>
      <c r="AH23" s="16">
        <f>IF($B23="-","-",IF(VLOOKUP(ROUND(CONCATENATE($A23,AH$2),0),'Cadastro - Padrões'!$A$2:$T$1160,AH$1,FALSE)="","-",VLOOKUP(ROUND(CONCATENATE($A23,AH$2),0),'Cadastro - Padrões'!$A$2:$T$1160,AH$1,FALSE)))</f>
        <v>800.3</v>
      </c>
      <c r="AI23" s="16">
        <f>IF($B23="-","-",IF(VLOOKUP(ROUND(CONCATENATE($A23,AI$2),0),'Cadastro - Padrões'!$A$2:$T$1160,AI$1,FALSE)="","-",VLOOKUP(ROUND(CONCATENATE($A23,AI$2),0),'Cadastro - Padrões'!$A$2:$T$1160,AI$1,FALSE)))</f>
        <v>0.2</v>
      </c>
      <c r="AJ23" s="16">
        <f>IF($B23="-","-",IF(VLOOKUP(ROUND(CONCATENATE($A23,AJ$2),0),'Cadastro - Padrões'!$A$2:$T$1160,AJ$1,FALSE)="","-",VLOOKUP(ROUND(CONCATENATE($A23,AJ$2),0),'Cadastro - Padrões'!$A$2:$T$1160,AJ$1,FALSE)))</f>
        <v>2</v>
      </c>
      <c r="AK23" s="16">
        <f>IF($B23="-","-",IF(VLOOKUP(ROUND(CONCATENATE($A23,AK$2),0),'Cadastro - Padrões'!$A$2:$T$1160,AK$1,FALSE)="","-",VLOOKUP(ROUND(CONCATENATE($A23,AK$2),0),'Cadastro - Padrões'!$A$2:$T$1160,AK$1,FALSE)))</f>
        <v>1000000</v>
      </c>
      <c r="AL23" s="16">
        <f>IF($B23="-","-",IF(VLOOKUP(ROUND(CONCATENATE($A23,AL$2),0),'Cadastro - Padrões'!$A$2:$T$1160,AL$1,FALSE)="","-",VLOOKUP(ROUND(CONCATENATE($A23,AL$2),0),'Cadastro - Padrões'!$A$2:$T$1160,AL$1,FALSE)))</f>
        <v>900.3</v>
      </c>
      <c r="AM23" s="16">
        <f>IF($B23="-","-",IF(VLOOKUP(ROUND(CONCATENATE($A23,AM$2),0),'Cadastro - Padrões'!$A$2:$T$1160,AM$1,FALSE)="","-",VLOOKUP(ROUND(CONCATENATE($A23,AM$2),0),'Cadastro - Padrões'!$A$2:$T$1160,AM$1,FALSE)))</f>
        <v>0.2</v>
      </c>
      <c r="AN23" s="16">
        <f>IF($B23="-","-",IF(VLOOKUP(ROUND(CONCATENATE($A23,AN$2),0),'Cadastro - Padrões'!$A$2:$T$1160,AN$1,FALSE)="","-",VLOOKUP(ROUND(CONCATENATE($A23,AN$2),0),'Cadastro - Padrões'!$A$2:$T$1160,AN$1,FALSE)))</f>
        <v>2</v>
      </c>
      <c r="AO23" s="16">
        <f>IF($B23="-","-",IF(VLOOKUP(ROUND(CONCATENATE($A23,AO$2),0),'Cadastro - Padrões'!$A$2:$T$1160,AO$1,FALSE)="","-",VLOOKUP(ROUND(CONCATENATE($A23,AO$2),0),'Cadastro - Padrões'!$A$2:$T$1160,AO$1,FALSE)))</f>
        <v>1000000</v>
      </c>
      <c r="AP23" s="16">
        <f>IF($B23="-","-",IF(VLOOKUP(ROUND(CONCATENATE($A23,AP$2),0),'Cadastro - Padrões'!$A$2:$T$1160,AP$1,FALSE)="","-",VLOOKUP(ROUND(CONCATENATE($A23,AP$2),0),'Cadastro - Padrões'!$A$2:$T$1160,AP$1,FALSE)))</f>
        <v>950.2</v>
      </c>
      <c r="AQ23" s="16">
        <f>IF($B23="-","-",IF(VLOOKUP(ROUND(CONCATENATE($A23,AQ$2),0),'Cadastro - Padrões'!$A$2:$T$1160,AQ$1,FALSE)="","-",VLOOKUP(ROUND(CONCATENATE($A23,AQ$2),0),'Cadastro - Padrões'!$A$2:$T$1160,AQ$1,FALSE)))</f>
        <v>0.2</v>
      </c>
      <c r="AR23" s="16">
        <f>IF($B23="-","-",IF(VLOOKUP(ROUND(CONCATENATE($A23,AR$2),0),'Cadastro - Padrões'!$A$2:$T$1160,AR$1,FALSE)="","-",VLOOKUP(ROUND(CONCATENATE($A23,AR$2),0),'Cadastro - Padrões'!$A$2:$T$1160,AR$1,FALSE)))</f>
        <v>2</v>
      </c>
      <c r="AS23" s="16">
        <f>IF($B23="-","-",IF(VLOOKUP(ROUND(CONCATENATE($A23,AS$2),0),'Cadastro - Padrões'!$A$2:$T$1160,AS$1,FALSE)="","-",VLOOKUP(ROUND(CONCATENATE($A23,AS$2),0),'Cadastro - Padrões'!$A$2:$T$1160,AS$1,FALSE)))</f>
        <v>1000000</v>
      </c>
      <c r="AT23" s="16">
        <f>IF($B23="-","-",IF(VLOOKUP(ROUND(CONCATENATE($A23,AT$2),0),'Cadastro - Padrões'!$A$2:$T$1160,AT$1,FALSE)="","-",VLOOKUP(ROUND(CONCATENATE($A23,AT$2),0),'Cadastro - Padrões'!$A$2:$T$1160,AT$1,FALSE)))</f>
        <v>1000.3</v>
      </c>
      <c r="AU23" s="16">
        <f>IF($B23="-","-",IF(VLOOKUP(ROUND(CONCATENATE($A23,AU$2),0),'Cadastro - Padrões'!$A$2:$T$1160,AU$1,FALSE)="","-",VLOOKUP(ROUND(CONCATENATE($A23,AU$2),0),'Cadastro - Padrões'!$A$2:$T$1160,AU$1,FALSE)))</f>
        <v>0.2</v>
      </c>
      <c r="AV23" s="16">
        <f>IF($B23="-","-",IF(VLOOKUP(ROUND(CONCATENATE($A23,AV$2),0),'Cadastro - Padrões'!$A$2:$T$1160,AV$1,FALSE)="","-",VLOOKUP(ROUND(CONCATENATE($A23,AV$2),0),'Cadastro - Padrões'!$A$2:$T$1160,AV$1,FALSE)))</f>
        <v>2</v>
      </c>
      <c r="AW23" s="16">
        <f>IF($B23="-","-",IF(VLOOKUP(ROUND(CONCATENATE($A23,AW$2),0),'Cadastro - Padrões'!$A$2:$T$1160,AW$1,FALSE)="","-",VLOOKUP(ROUND(CONCATENATE($A23,AW$2),0),'Cadastro - Padrões'!$A$2:$T$1160,AW$1,FALSE)))</f>
        <v>1000000</v>
      </c>
      <c r="AX23" s="16">
        <f>IF($B23="-","-",IF(VLOOKUP(ROUND(CONCATENATE($A23,AX$2),0),'Cadastro - Padrões'!$A$2:$T$1160,AX$1,FALSE)="","-",VLOOKUP(ROUND(CONCATENATE($A23,AX$2),0),'Cadastro - Padrões'!$A$2:$T$1160,AX$1,FALSE)))</f>
        <v>1099.3</v>
      </c>
      <c r="AY23" s="16">
        <f>IF($B23="-","-",IF(VLOOKUP(ROUND(CONCATENATE($A23,AY$2),0),'Cadastro - Padrões'!$A$2:$T$1160,AY$1,FALSE)="","-",VLOOKUP(ROUND(CONCATENATE($A23,AY$2),0),'Cadastro - Padrões'!$A$2:$T$1160,AY$1,FALSE)))</f>
        <v>0.2</v>
      </c>
      <c r="AZ23" s="16">
        <f>IF($B23="-","-",IF(VLOOKUP(ROUND(CONCATENATE($A23,AZ$2),0),'Cadastro - Padrões'!$A$2:$T$1160,AZ$1,FALSE)="","-",VLOOKUP(ROUND(CONCATENATE($A23,AZ$2),0),'Cadastro - Padrões'!$A$2:$T$1160,AZ$1,FALSE)))</f>
        <v>2</v>
      </c>
      <c r="BA23" s="16">
        <f>IF($B23="-","-",IF(VLOOKUP(ROUND(CONCATENATE($A23,BA$2),0),'Cadastro - Padrões'!$A$2:$T$1160,BA$1,FALSE)="","-",VLOOKUP(ROUND(CONCATENATE($A23,BA$2),0),'Cadastro - Padrões'!$A$2:$T$1160,BA$1,FALSE)))</f>
        <v>1000000</v>
      </c>
      <c r="BB23" s="16" t="str">
        <f>IF($B23="-","-",IF(VLOOKUP(ROUND(CONCATENATE($A23,BB$2),0),'Cadastro - Padrões'!$A$2:$T$1160,BB$1,FALSE)="","-",VLOOKUP(ROUND(CONCATENATE($A23,BB$2),0),'Cadastro - Padrões'!$A$2:$T$1160,BB$1,FALSE)))</f>
        <v>-</v>
      </c>
      <c r="BC23" s="16" t="str">
        <f>IF($B23="-","-",IF(VLOOKUP(ROUND(CONCATENATE($A23,BC$2),0),'Cadastro - Padrões'!$A$2:$T$1160,BC$1,FALSE)="","-",VLOOKUP(ROUND(CONCATENATE($A23,BC$2),0),'Cadastro - Padrões'!$A$2:$T$1160,BC$1,FALSE)))</f>
        <v>-</v>
      </c>
      <c r="BD23" s="16" t="str">
        <f>IF($B23="-","-",IF(VLOOKUP(ROUND(CONCATENATE($A23,BD$2),0),'Cadastro - Padrões'!$A$2:$T$1160,BD$1,FALSE)="","-",VLOOKUP(ROUND(CONCATENATE($A23,BD$2),0),'Cadastro - Padrões'!$A$2:$T$1160,BD$1,FALSE)))</f>
        <v>-</v>
      </c>
      <c r="BE23" s="16" t="str">
        <f>IF($B23="-","-",IF(VLOOKUP(ROUND(CONCATENATE($A23,BE$2),0),'Cadastro - Padrões'!$A$2:$T$1160,BE$1,FALSE)="","-",VLOOKUP(ROUND(CONCATENATE($A23,BE$2),0),'Cadastro - Padrões'!$A$2:$T$1160,BE$1,FALSE)))</f>
        <v>-</v>
      </c>
      <c r="BF23" s="16" t="str">
        <f>IF($B23="-","-",IF(VLOOKUP(ROUND(CONCATENATE($A23,BF$2),0),'Cadastro - Padrões'!$A$2:$T$1160,BF$1,FALSE)="","-",VLOOKUP(ROUND(CONCATENATE($A23,BF$2),0),'Cadastro - Padrões'!$A$2:$T$1160,BF$1,FALSE)))</f>
        <v>-</v>
      </c>
      <c r="BG23" s="16" t="str">
        <f>IF($B23="-","-",IF(VLOOKUP(ROUND(CONCATENATE($A23,BG$2),0),'Cadastro - Padrões'!$A$2:$T$1160,BG$1,FALSE)="","-",VLOOKUP(ROUND(CONCATENATE($A23,BG$2),0),'Cadastro - Padrões'!$A$2:$T$1160,BG$1,FALSE)))</f>
        <v>-</v>
      </c>
      <c r="BH23" s="16" t="str">
        <f>IF($B23="-","-",IF(VLOOKUP(ROUND(CONCATENATE($A23,BH$2),0),'Cadastro - Padrões'!$A$2:$T$1160,BH$1,FALSE)="","-",VLOOKUP(ROUND(CONCATENATE($A23,BH$2),0),'Cadastro - Padrões'!$A$2:$T$1160,BH$1,FALSE)))</f>
        <v>-</v>
      </c>
      <c r="BI23" s="16" t="str">
        <f>IF($B23="-","-",IF(VLOOKUP(ROUND(CONCATENATE($A23,BI$2),0),'Cadastro - Padrões'!$A$2:$T$1160,BI$1,FALSE)="","-",VLOOKUP(ROUND(CONCATENATE($A23,BI$2),0),'Cadastro - Padrões'!$A$2:$T$1160,BI$1,FALSE)))</f>
        <v>-</v>
      </c>
      <c r="BJ23" s="16" t="str">
        <f>IF($B23="-","-",IF(VLOOKUP(ROUND(CONCATENATE($A23,BJ$2),0),'Cadastro - Padrões'!$A$2:$T$1160,BJ$1,FALSE)="","-",VLOOKUP(ROUND(CONCATENATE($A23,BJ$2),0),'Cadastro - Padrões'!$A$2:$T$1160,BJ$1,FALSE)))</f>
        <v>-</v>
      </c>
      <c r="BK23" s="16" t="str">
        <f>IF($B23="-","-",IF(VLOOKUP(ROUND(CONCATENATE($A23,BK$2),0),'Cadastro - Padrões'!$A$2:$T$1160,BK$1,FALSE)="","-",VLOOKUP(ROUND(CONCATENATE($A23,BK$2),0),'Cadastro - Padrões'!$A$2:$T$1160,BK$1,FALSE)))</f>
        <v>-</v>
      </c>
      <c r="BL23" s="16" t="str">
        <f>IF($B23="-","-",IF(VLOOKUP(ROUND(CONCATENATE($A23,BL$2),0),'Cadastro - Padrões'!$A$2:$T$1160,BL$1,FALSE)="","-",VLOOKUP(ROUND(CONCATENATE($A23,BL$2),0),'Cadastro - Padrões'!$A$2:$T$1160,BL$1,FALSE)))</f>
        <v>-</v>
      </c>
      <c r="BM23" s="16" t="str">
        <f>IF($B23="-","-",IF(VLOOKUP(ROUND(CONCATENATE($A23,BM$2),0),'Cadastro - Padrões'!$A$2:$T$1160,BM$1,FALSE)="","-",VLOOKUP(ROUND(CONCATENATE($A23,BM$2),0),'Cadastro - Padrões'!$A$2:$T$1160,BM$1,FALSE)))</f>
        <v>-</v>
      </c>
      <c r="BN23" s="16" t="str">
        <f>IF($B23="-","-",IF(VLOOKUP(ROUND(CONCATENATE($A23,BN$2),0),'Cadastro - Padrões'!$A$2:$T$1160,BN$1,FALSE)="","-",VLOOKUP(ROUND(CONCATENATE($A23,BN$2),0),'Cadastro - Padrões'!$A$2:$T$1160,BN$1,FALSE)))</f>
        <v>-</v>
      </c>
      <c r="BO23" s="16" t="str">
        <f>IF($B23="-","-",IF(VLOOKUP(ROUND(CONCATENATE($A23,BO$2),0),'Cadastro - Padrões'!$A$2:$T$1160,BO$1,FALSE)="","-",VLOOKUP(ROUND(CONCATENATE($A23,BO$2),0),'Cadastro - Padrões'!$A$2:$T$1160,BO$1,FALSE)))</f>
        <v>-</v>
      </c>
      <c r="BP23" s="16" t="str">
        <f>IF($B23="-","-",IF(VLOOKUP(ROUND(CONCATENATE($A23,BP$2),0),'Cadastro - Padrões'!$A$2:$T$1160,BP$1,FALSE)="","-",VLOOKUP(ROUND(CONCATENATE($A23,BP$2),0),'Cadastro - Padrões'!$A$2:$T$1160,BP$1,FALSE)))</f>
        <v>-</v>
      </c>
      <c r="BQ23" s="16" t="str">
        <f>IF($B23="-","-",IF(VLOOKUP(ROUND(CONCATENATE($A23,BQ$2),0),'Cadastro - Padrões'!$A$2:$T$1160,BQ$1,FALSE)="","-",VLOOKUP(ROUND(CONCATENATE($A23,BQ$2),0),'Cadastro - Padrões'!$A$2:$T$1160,BQ$1,FALSE)))</f>
        <v>-</v>
      </c>
      <c r="BR23" s="16" t="str">
        <f>IF($B23="-","-",IF(VLOOKUP(ROUND(CONCATENATE($A23,BR$2),0),'Cadastro - Padrões'!$A$2:$T$1160,BR$1,FALSE)="","-",VLOOKUP(ROUND(CONCATENATE($A23,BR$2),0),'Cadastro - Padrões'!$A$2:$T$1160,BR$1,FALSE)))</f>
        <v>-</v>
      </c>
      <c r="BS23" s="16" t="str">
        <f>IF($B23="-","-",IF(VLOOKUP(ROUND(CONCATENATE($A23,BS$2),0),'Cadastro - Padrões'!$A$2:$T$1160,BS$1,FALSE)="","-",VLOOKUP(ROUND(CONCATENATE($A23,BS$2),0),'Cadastro - Padrões'!$A$2:$T$1160,BS$1,FALSE)))</f>
        <v>-</v>
      </c>
      <c r="BT23" s="16" t="str">
        <f>IF($B23="-","-",IF(VLOOKUP(ROUND(CONCATENATE($A23,BT$2),0),'Cadastro - Padrões'!$A$2:$T$1160,BT$1,FALSE)="","-",VLOOKUP(ROUND(CONCATENATE($A23,BT$2),0),'Cadastro - Padrões'!$A$2:$T$1160,BT$1,FALSE)))</f>
        <v>-</v>
      </c>
      <c r="BU23" s="16" t="str">
        <f>IF($B23="-","-",IF(VLOOKUP(ROUND(CONCATENATE($A23,BU$2),0),'Cadastro - Padrões'!$A$2:$T$1160,BU$1,FALSE)="","-",VLOOKUP(ROUND(CONCATENATE($A23,BU$2),0),'Cadastro - Padrões'!$A$2:$T$1160,BU$1,FALSE)))</f>
        <v>-</v>
      </c>
      <c r="BV23" s="16" t="str">
        <f>IF($B23="-","-",IF(VLOOKUP(ROUND(CONCATENATE($A23,BV$2),0),'Cadastro - Padrões'!$A$2:$T$1160,BV$1,FALSE)="","-",VLOOKUP(ROUND(CONCATENATE($A23,BV$2),0),'Cadastro - Padrões'!$A$2:$T$1160,BV$1,FALSE)))</f>
        <v>-</v>
      </c>
      <c r="BW23" s="16" t="str">
        <f>IF($B23="-","-",IF(VLOOKUP(ROUND(CONCATENATE($A23,BW$2),0),'Cadastro - Padrões'!$A$2:$T$1160,BW$1,FALSE)="","-",VLOOKUP(ROUND(CONCATENATE($A23,BW$2),0),'Cadastro - Padrões'!$A$2:$T$1160,BW$1,FALSE)))</f>
        <v>-</v>
      </c>
      <c r="BX23" s="16" t="str">
        <f>IF($B23="-","-",IF(VLOOKUP(ROUND(CONCATENATE($A23,BX$2),0),'Cadastro - Padrões'!$A$2:$T$1160,BX$1,FALSE)="","-",VLOOKUP(ROUND(CONCATENATE($A23,BX$2),0),'Cadastro - Padrões'!$A$2:$T$1160,BX$1,FALSE)))</f>
        <v>-</v>
      </c>
      <c r="BY23" s="16" t="str">
        <f>IF($B23="-","-",IF(VLOOKUP(ROUND(CONCATENATE($A23,BY$2),0),'Cadastro - Padrões'!$A$2:$T$1160,BY$1,FALSE)="","-",VLOOKUP(ROUND(CONCATENATE($A23,BY$2),0),'Cadastro - Padrões'!$A$2:$T$1160,BY$1,FALSE)))</f>
        <v>-</v>
      </c>
      <c r="BZ23" s="16" t="str">
        <f>IF($B23="-","-",IF(VLOOKUP(ROUND(CONCATENATE($A23,BZ$2),0),'Cadastro - Padrões'!$A$2:$T$1160,BZ$1,FALSE)="","-",VLOOKUP(ROUND(CONCATENATE($A23,BZ$2),0),'Cadastro - Padrões'!$A$2:$T$1160,BZ$1,FALSE)))</f>
        <v>-</v>
      </c>
      <c r="CA23" s="16" t="str">
        <f>IF($B23="-","-",IF(VLOOKUP(ROUND(CONCATENATE($A23,CA$2),0),'Cadastro - Padrões'!$A$2:$T$1160,CA$1,FALSE)="","-",VLOOKUP(ROUND(CONCATENATE($A23,CA$2),0),'Cadastro - Padrões'!$A$2:$T$1160,CA$1,FALSE)))</f>
        <v>-</v>
      </c>
      <c r="CB23" s="16" t="str">
        <f>IF($B23="-","-",IF(VLOOKUP(ROUND(CONCATENATE($A23,CB$2),0),'Cadastro - Padrões'!$A$2:$T$1160,CB$1,FALSE)="","-",VLOOKUP(ROUND(CONCATENATE($A23,CB$2),0),'Cadastro - Padrões'!$A$2:$T$1160,CB$1,FALSE)))</f>
        <v>-</v>
      </c>
      <c r="CC23" s="16" t="str">
        <f>IF($B23="-","-",IF(VLOOKUP(ROUND(CONCATENATE($A23,CC$2),0),'Cadastro - Padrões'!$A$2:$T$1160,CC$1,FALSE)="","-",VLOOKUP(ROUND(CONCATENATE($A23,CC$2),0),'Cadastro - Padrões'!$A$2:$T$1160,CC$1,FALSE)))</f>
        <v>-</v>
      </c>
    </row>
    <row r="24" spans="1:81" x14ac:dyDescent="0.3">
      <c r="A24" s="15">
        <f t="shared" si="82"/>
        <v>19</v>
      </c>
      <c r="B24" s="16" t="str">
        <f>IF(VLOOKUP(ROUND(CONCATENATE($A24,B$2),0),'Cadastro - Padrões'!$A$2:$T$1160,B$1,FALSE)="","-",VLOOKUP(ROUND(CONCATENATE($A24,B$2),0),'Cadastro - Padrões'!$A$2:$T$1160,B$1,FALSE))</f>
        <v>M.MS.LM-013</v>
      </c>
      <c r="C24" s="16" t="str">
        <f>IF(VLOOKUP(ROUND(CONCATENATE($A24,C$2),0),'Cadastro - Padrões'!$A$2:$T$1160,C$1,FALSE)="","-",VLOOKUP(ROUND(CONCATENATE($A24,C$2),0),'Cadastro - Padrões'!$A$2:$T$1160,C$1,FALSE))</f>
        <v>Barômetro Digital</v>
      </c>
      <c r="D24" s="16" t="str">
        <f>IF($B24="-","-",VLOOKUP(ROUND(CONCATENATE($A24,D$2),0),'Cadastro - Padrões'!$A$2:$T$1160,D$1,FALSE))</f>
        <v>Elus</v>
      </c>
      <c r="E24" s="16" t="str">
        <f>IF($B24="-","-",VLOOKUP(ROUND(CONCATENATE($A24,E$2),0),'Cadastro - Padrões'!$A$2:$T$1160,E$1,FALSE))</f>
        <v>RBC - CAL 0439</v>
      </c>
      <c r="F24" s="16" t="str">
        <f>IF($B24="-","-",VLOOKUP(ROUND(CONCATENATE($A24,F$2),0),'Cadastro - Padrões'!$A$2:$T$1160,F$1,FALSE))</f>
        <v>E0040A/25</v>
      </c>
      <c r="G24" s="17">
        <f>IF($B24="-","-",VLOOKUP(ROUND(CONCATENATE($A24,G$2),0),'Cadastro - Padrões'!$A$2:$T$1160,G$1,FALSE))</f>
        <v>45701</v>
      </c>
      <c r="H24" s="18">
        <f>IF($B24="-","-",VLOOKUP(ROUND(CONCATENATE($A24,H$2),0),'Cadastro - Padrões'!$A$2:$T$1160,H$1,FALSE))</f>
        <v>46446</v>
      </c>
      <c r="I24" s="16" t="str">
        <f>IF($B24="-","-",VLOOKUP(ROUND(CONCATENATE($A24,I$2),0),'Cadastro - Padrões'!$A$2:$T$1160,I$1,FALSE))</f>
        <v>hPa</v>
      </c>
      <c r="J24" s="16">
        <f>IF($B24="-","-",VLOOKUP(ROUND(CONCATENATE($A24,J$2),0),'Cadastro - Padrões'!$A$2:$T$1160,J$1,FALSE))</f>
        <v>501.4</v>
      </c>
      <c r="K24" s="16">
        <f>IF($B24="-","-",VLOOKUP(ROUND(CONCATENATE($A24,K$2),0),'Cadastro - Padrões'!$A$2:$T$1160,K$1,FALSE))</f>
        <v>1099.9000000000001</v>
      </c>
      <c r="L24" s="16">
        <f>IF($B24="-","-",VLOOKUP(ROUND(CONCATENATE($A24,L$2),0),'Cadastro - Padrões'!$A$2:$T$1160,L$1,FALSE))</f>
        <v>0.1</v>
      </c>
      <c r="M24" s="19">
        <f>IF($B24="-","-",VLOOKUP(ROUND(CONCATENATE($A24,M$2),0),'Cadastro - Padrões'!$A$2:$T$1160,M$1,FALSE))</f>
        <v>1.3999999999999773</v>
      </c>
      <c r="N24" s="16">
        <f>IF($B24="-","-",VLOOKUP(ROUND(CONCATENATE($A24,N$2),0),'Cadastro - Padrões'!$A$2:$T$1160,N$1,FALSE))</f>
        <v>0.3</v>
      </c>
      <c r="O24" s="19">
        <f>IF($B24="-","-",VLOOKUP(ROUND(CONCATENATE($A24,O$2),0),'Cadastro - Padrões'!$A$2:$T$1160,O$1,FALSE))</f>
        <v>0.89999999999997726</v>
      </c>
      <c r="P24" s="16">
        <f>IF($B24="-","-",VLOOKUP(ROUND(CONCATENATE($A24,P$2),0),'Cadastro - Padrões'!$A$2:$T$1160,P$1,FALSE))</f>
        <v>0.14897638138094718</v>
      </c>
      <c r="Q24" s="16">
        <f>IF($B24="-","-",VLOOKUP(ROUND(CONCATENATE($A24,Q$2),0),'Cadastro - Padrões'!$A$2:$T$1160,Q$1,FALSE))</f>
        <v>3</v>
      </c>
      <c r="R24" s="16">
        <f>IF($B24="-","-",VLOOKUP(ROUND(CONCATENATE($A24,R$2),0),'Cadastro - Padrões'!$A$2:$T$1160,R$1,FALSE))</f>
        <v>-2.6687477098153539E-8</v>
      </c>
      <c r="S24" s="16">
        <f>IF($B24="-","-",VLOOKUP(ROUND(CONCATENATE($A24,S$2),0),'Cadastro - Padrões'!$A$2:$T$1160,S$1,FALSE))</f>
        <v>5.6380710893028193E-5</v>
      </c>
      <c r="T24" s="16">
        <f>IF($B24="-","-",VLOOKUP(ROUND(CONCATENATE($A24,T$2),0),'Cadastro - Padrões'!$A$2:$T$1160,T$1,FALSE))</f>
        <v>0.96098837771476631</v>
      </c>
      <c r="U24" s="16">
        <f>IF($B24="-","-",VLOOKUP(ROUND(CONCATENATE($A24,U$2),0),'Cadastro - Padrões'!$A$2:$T$1160,U$1,FALSE))</f>
        <v>10.191678592910119</v>
      </c>
      <c r="V24" s="16">
        <f>IF($B24="-","-",IF(VLOOKUP(ROUND(CONCATENATE($A24,V$2),0),'Cadastro - Padrões'!$A$2:$T$1160,V$1,FALSE)="","-",VLOOKUP(ROUND(CONCATENATE($A24,V$2),0),'Cadastro - Padrões'!$A$2:$T$1160,V$1,FALSE)))</f>
        <v>501.4</v>
      </c>
      <c r="W24" s="16">
        <f>IF($B24="-","-",IF(VLOOKUP(ROUND(CONCATENATE($A24,W$2),0),'Cadastro - Padrões'!$A$2:$T$1160,W$1,FALSE)="","-",VLOOKUP(ROUND(CONCATENATE($A24,W$2),0),'Cadastro - Padrões'!$A$2:$T$1160,W$1,FALSE)))</f>
        <v>0.3</v>
      </c>
      <c r="X24" s="16">
        <f>IF($B24="-","-",IF(VLOOKUP(ROUND(CONCATENATE($A24,X$2),0),'Cadastro - Padrões'!$A$2:$T$1160,X$1,FALSE)="","-",VLOOKUP(ROUND(CONCATENATE($A24,X$2),0),'Cadastro - Padrões'!$A$2:$T$1160,X$1,FALSE)))</f>
        <v>2</v>
      </c>
      <c r="Y24" s="16">
        <f>IF($B24="-","-",IF(VLOOKUP(ROUND(CONCATENATE($A24,Y$2),0),'Cadastro - Padrões'!$A$2:$T$1160,Y$1,FALSE)="","-",VLOOKUP(ROUND(CONCATENATE($A24,Y$2),0),'Cadastro - Padrões'!$A$2:$T$1160,Y$1,FALSE)))</f>
        <v>1000000</v>
      </c>
      <c r="Z24" s="16">
        <f>IF($B24="-","-",IF(VLOOKUP(ROUND(CONCATENATE($A24,Z$2),0),'Cadastro - Padrões'!$A$2:$T$1160,Z$1,FALSE)="","-",VLOOKUP(ROUND(CONCATENATE($A24,Z$2),0),'Cadastro - Padrões'!$A$2:$T$1160,Z$1,FALSE)))</f>
        <v>601.4</v>
      </c>
      <c r="AA24" s="16">
        <f>IF($B24="-","-",IF(VLOOKUP(ROUND(CONCATENATE($A24,AA$2),0),'Cadastro - Padrões'!$A$2:$T$1160,AA$1,FALSE)="","-",VLOOKUP(ROUND(CONCATENATE($A24,AA$2),0),'Cadastro - Padrões'!$A$2:$T$1160,AA$1,FALSE)))</f>
        <v>0.3</v>
      </c>
      <c r="AB24" s="16">
        <f>IF($B24="-","-",IF(VLOOKUP(ROUND(CONCATENATE($A24,AB$2),0),'Cadastro - Padrões'!$A$2:$T$1160,AB$1,FALSE)="","-",VLOOKUP(ROUND(CONCATENATE($A24,AB$2),0),'Cadastro - Padrões'!$A$2:$T$1160,AB$1,FALSE)))</f>
        <v>2</v>
      </c>
      <c r="AC24" s="16">
        <f>IF($B24="-","-",IF(VLOOKUP(ROUND(CONCATENATE($A24,AC$2),0),'Cadastro - Padrões'!$A$2:$T$1160,AC$1,FALSE)="","-",VLOOKUP(ROUND(CONCATENATE($A24,AC$2),0),'Cadastro - Padrões'!$A$2:$T$1160,AC$1,FALSE)))</f>
        <v>1000000</v>
      </c>
      <c r="AD24" s="16">
        <f>IF($B24="-","-",IF(VLOOKUP(ROUND(CONCATENATE($A24,AD$2),0),'Cadastro - Padrões'!$A$2:$T$1160,AD$1,FALSE)="","-",VLOOKUP(ROUND(CONCATENATE($A24,AD$2),0),'Cadastro - Padrões'!$A$2:$T$1160,AD$1,FALSE)))</f>
        <v>701.4</v>
      </c>
      <c r="AE24" s="16">
        <f>IF($B24="-","-",IF(VLOOKUP(ROUND(CONCATENATE($A24,AE$2),0),'Cadastro - Padrões'!$A$2:$T$1160,AE$1,FALSE)="","-",VLOOKUP(ROUND(CONCATENATE($A24,AE$2),0),'Cadastro - Padrões'!$A$2:$T$1160,AE$1,FALSE)))</f>
        <v>0.3</v>
      </c>
      <c r="AF24" s="16">
        <f>IF($B24="-","-",IF(VLOOKUP(ROUND(CONCATENATE($A24,AF$2),0),'Cadastro - Padrões'!$A$2:$T$1160,AF$1,FALSE)="","-",VLOOKUP(ROUND(CONCATENATE($A24,AF$2),0),'Cadastro - Padrões'!$A$2:$T$1160,AF$1,FALSE)))</f>
        <v>2</v>
      </c>
      <c r="AG24" s="16">
        <f>IF($B24="-","-",IF(VLOOKUP(ROUND(CONCATENATE($A24,AG$2),0),'Cadastro - Padrões'!$A$2:$T$1160,AG$1,FALSE)="","-",VLOOKUP(ROUND(CONCATENATE($A24,AG$2),0),'Cadastro - Padrões'!$A$2:$T$1160,AG$1,FALSE)))</f>
        <v>1000000</v>
      </c>
      <c r="AH24" s="16">
        <f>IF($B24="-","-",IF(VLOOKUP(ROUND(CONCATENATE($A24,AH$2),0),'Cadastro - Padrões'!$A$2:$T$1160,AH$1,FALSE)="","-",VLOOKUP(ROUND(CONCATENATE($A24,AH$2),0),'Cadastro - Padrões'!$A$2:$T$1160,AH$1,FALSE)))</f>
        <v>801.3</v>
      </c>
      <c r="AI24" s="16">
        <f>IF($B24="-","-",IF(VLOOKUP(ROUND(CONCATENATE($A24,AI$2),0),'Cadastro - Padrões'!$A$2:$T$1160,AI$1,FALSE)="","-",VLOOKUP(ROUND(CONCATENATE($A24,AI$2),0),'Cadastro - Padrões'!$A$2:$T$1160,AI$1,FALSE)))</f>
        <v>0.3</v>
      </c>
      <c r="AJ24" s="16">
        <f>IF($B24="-","-",IF(VLOOKUP(ROUND(CONCATENATE($A24,AJ$2),0),'Cadastro - Padrões'!$A$2:$T$1160,AJ$1,FALSE)="","-",VLOOKUP(ROUND(CONCATENATE($A24,AJ$2),0),'Cadastro - Padrões'!$A$2:$T$1160,AJ$1,FALSE)))</f>
        <v>2</v>
      </c>
      <c r="AK24" s="16">
        <f>IF($B24="-","-",IF(VLOOKUP(ROUND(CONCATENATE($A24,AK$2),0),'Cadastro - Padrões'!$A$2:$T$1160,AK$1,FALSE)="","-",VLOOKUP(ROUND(CONCATENATE($A24,AK$2),0),'Cadastro - Padrões'!$A$2:$T$1160,AK$1,FALSE)))</f>
        <v>1000000</v>
      </c>
      <c r="AL24" s="16">
        <f>IF($B24="-","-",IF(VLOOKUP(ROUND(CONCATENATE($A24,AL$2),0),'Cadastro - Padrões'!$A$2:$T$1160,AL$1,FALSE)="","-",VLOOKUP(ROUND(CONCATENATE($A24,AL$2),0),'Cadastro - Padrões'!$A$2:$T$1160,AL$1,FALSE)))</f>
        <v>901.2</v>
      </c>
      <c r="AM24" s="16">
        <f>IF($B24="-","-",IF(VLOOKUP(ROUND(CONCATENATE($A24,AM$2),0),'Cadastro - Padrões'!$A$2:$T$1160,AM$1,FALSE)="","-",VLOOKUP(ROUND(CONCATENATE($A24,AM$2),0),'Cadastro - Padrões'!$A$2:$T$1160,AM$1,FALSE)))</f>
        <v>0.3</v>
      </c>
      <c r="AN24" s="16">
        <f>IF($B24="-","-",IF(VLOOKUP(ROUND(CONCATENATE($A24,AN$2),0),'Cadastro - Padrões'!$A$2:$T$1160,AN$1,FALSE)="","-",VLOOKUP(ROUND(CONCATENATE($A24,AN$2),0),'Cadastro - Padrões'!$A$2:$T$1160,AN$1,FALSE)))</f>
        <v>2</v>
      </c>
      <c r="AO24" s="16">
        <f>IF($B24="-","-",IF(VLOOKUP(ROUND(CONCATENATE($A24,AO$2),0),'Cadastro - Padrões'!$A$2:$T$1160,AO$1,FALSE)="","-",VLOOKUP(ROUND(CONCATENATE($A24,AO$2),0),'Cadastro - Padrões'!$A$2:$T$1160,AO$1,FALSE)))</f>
        <v>1000000</v>
      </c>
      <c r="AP24" s="16">
        <f>IF($B24="-","-",IF(VLOOKUP(ROUND(CONCATENATE($A24,AP$2),0),'Cadastro - Padrões'!$A$2:$T$1160,AP$1,FALSE)="","-",VLOOKUP(ROUND(CONCATENATE($A24,AP$2),0),'Cadastro - Padrões'!$A$2:$T$1160,AP$1,FALSE)))</f>
        <v>951.1</v>
      </c>
      <c r="AQ24" s="16">
        <f>IF($B24="-","-",IF(VLOOKUP(ROUND(CONCATENATE($A24,AQ$2),0),'Cadastro - Padrões'!$A$2:$T$1160,AQ$1,FALSE)="","-",VLOOKUP(ROUND(CONCATENATE($A24,AQ$2),0),'Cadastro - Padrões'!$A$2:$T$1160,AQ$1,FALSE)))</f>
        <v>0.3</v>
      </c>
      <c r="AR24" s="16">
        <f>IF($B24="-","-",IF(VLOOKUP(ROUND(CONCATENATE($A24,AR$2),0),'Cadastro - Padrões'!$A$2:$T$1160,AR$1,FALSE)="","-",VLOOKUP(ROUND(CONCATENATE($A24,AR$2),0),'Cadastro - Padrões'!$A$2:$T$1160,AR$1,FALSE)))</f>
        <v>2</v>
      </c>
      <c r="AS24" s="16">
        <f>IF($B24="-","-",IF(VLOOKUP(ROUND(CONCATENATE($A24,AS$2),0),'Cadastro - Padrões'!$A$2:$T$1160,AS$1,FALSE)="","-",VLOOKUP(ROUND(CONCATENATE($A24,AS$2),0),'Cadastro - Padrões'!$A$2:$T$1160,AS$1,FALSE)))</f>
        <v>1000000</v>
      </c>
      <c r="AT24" s="16">
        <f>IF($B24="-","-",IF(VLOOKUP(ROUND(CONCATENATE($A24,AT$2),0),'Cadastro - Padrões'!$A$2:$T$1160,AT$1,FALSE)="","-",VLOOKUP(ROUND(CONCATENATE($A24,AT$2),0),'Cadastro - Padrões'!$A$2:$T$1160,AT$1,FALSE)))</f>
        <v>1001.1</v>
      </c>
      <c r="AU24" s="16">
        <f>IF($B24="-","-",IF(VLOOKUP(ROUND(CONCATENATE($A24,AU$2),0),'Cadastro - Padrões'!$A$2:$T$1160,AU$1,FALSE)="","-",VLOOKUP(ROUND(CONCATENATE($A24,AU$2),0),'Cadastro - Padrões'!$A$2:$T$1160,AU$1,FALSE)))</f>
        <v>0.3</v>
      </c>
      <c r="AV24" s="16">
        <f>IF($B24="-","-",IF(VLOOKUP(ROUND(CONCATENATE($A24,AV$2),0),'Cadastro - Padrões'!$A$2:$T$1160,AV$1,FALSE)="","-",VLOOKUP(ROUND(CONCATENATE($A24,AV$2),0),'Cadastro - Padrões'!$A$2:$T$1160,AV$1,FALSE)))</f>
        <v>2</v>
      </c>
      <c r="AW24" s="16">
        <f>IF($B24="-","-",IF(VLOOKUP(ROUND(CONCATENATE($A24,AW$2),0),'Cadastro - Padrões'!$A$2:$T$1160,AW$1,FALSE)="","-",VLOOKUP(ROUND(CONCATENATE($A24,AW$2),0),'Cadastro - Padrões'!$A$2:$T$1160,AW$1,FALSE)))</f>
        <v>1000000</v>
      </c>
      <c r="AX24" s="16">
        <f>IF($B24="-","-",IF(VLOOKUP(ROUND(CONCATENATE($A24,AX$2),0),'Cadastro - Padrões'!$A$2:$T$1160,AX$1,FALSE)="","-",VLOOKUP(ROUND(CONCATENATE($A24,AX$2),0),'Cadastro - Padrões'!$A$2:$T$1160,AX$1,FALSE)))</f>
        <v>1099.9000000000001</v>
      </c>
      <c r="AY24" s="16">
        <f>IF($B24="-","-",IF(VLOOKUP(ROUND(CONCATENATE($A24,AY$2),0),'Cadastro - Padrões'!$A$2:$T$1160,AY$1,FALSE)="","-",VLOOKUP(ROUND(CONCATENATE($A24,AY$2),0),'Cadastro - Padrões'!$A$2:$T$1160,AY$1,FALSE)))</f>
        <v>0.3</v>
      </c>
      <c r="AZ24" s="16">
        <f>IF($B24="-","-",IF(VLOOKUP(ROUND(CONCATENATE($A24,AZ$2),0),'Cadastro - Padrões'!$A$2:$T$1160,AZ$1,FALSE)="","-",VLOOKUP(ROUND(CONCATENATE($A24,AZ$2),0),'Cadastro - Padrões'!$A$2:$T$1160,AZ$1,FALSE)))</f>
        <v>2</v>
      </c>
      <c r="BA24" s="16">
        <f>IF($B24="-","-",IF(VLOOKUP(ROUND(CONCATENATE($A24,BA$2),0),'Cadastro - Padrões'!$A$2:$T$1160,BA$1,FALSE)="","-",VLOOKUP(ROUND(CONCATENATE($A24,BA$2),0),'Cadastro - Padrões'!$A$2:$T$1160,BA$1,FALSE)))</f>
        <v>1000000</v>
      </c>
      <c r="BB24" s="16" t="str">
        <f>IF($B24="-","-",IF(VLOOKUP(ROUND(CONCATENATE($A24,BB$2),0),'Cadastro - Padrões'!$A$2:$T$1160,BB$1,FALSE)="","-",VLOOKUP(ROUND(CONCATENATE($A24,BB$2),0),'Cadastro - Padrões'!$A$2:$T$1160,BB$1,FALSE)))</f>
        <v>-</v>
      </c>
      <c r="BC24" s="16" t="str">
        <f>IF($B24="-","-",IF(VLOOKUP(ROUND(CONCATENATE($A24,BC$2),0),'Cadastro - Padrões'!$A$2:$T$1160,BC$1,FALSE)="","-",VLOOKUP(ROUND(CONCATENATE($A24,BC$2),0),'Cadastro - Padrões'!$A$2:$T$1160,BC$1,FALSE)))</f>
        <v>-</v>
      </c>
      <c r="BD24" s="16" t="str">
        <f>IF($B24="-","-",IF(VLOOKUP(ROUND(CONCATENATE($A24,BD$2),0),'Cadastro - Padrões'!$A$2:$T$1160,BD$1,FALSE)="","-",VLOOKUP(ROUND(CONCATENATE($A24,BD$2),0),'Cadastro - Padrões'!$A$2:$T$1160,BD$1,FALSE)))</f>
        <v>-</v>
      </c>
      <c r="BE24" s="16" t="str">
        <f>IF($B24="-","-",IF(VLOOKUP(ROUND(CONCATENATE($A24,BE$2),0),'Cadastro - Padrões'!$A$2:$T$1160,BE$1,FALSE)="","-",VLOOKUP(ROUND(CONCATENATE($A24,BE$2),0),'Cadastro - Padrões'!$A$2:$T$1160,BE$1,FALSE)))</f>
        <v>-</v>
      </c>
      <c r="BF24" s="16" t="str">
        <f>IF($B24="-","-",IF(VLOOKUP(ROUND(CONCATENATE($A24,BF$2),0),'Cadastro - Padrões'!$A$2:$T$1160,BF$1,FALSE)="","-",VLOOKUP(ROUND(CONCATENATE($A24,BF$2),0),'Cadastro - Padrões'!$A$2:$T$1160,BF$1,FALSE)))</f>
        <v>-</v>
      </c>
      <c r="BG24" s="16" t="str">
        <f>IF($B24="-","-",IF(VLOOKUP(ROUND(CONCATENATE($A24,BG$2),0),'Cadastro - Padrões'!$A$2:$T$1160,BG$1,FALSE)="","-",VLOOKUP(ROUND(CONCATENATE($A24,BG$2),0),'Cadastro - Padrões'!$A$2:$T$1160,BG$1,FALSE)))</f>
        <v>-</v>
      </c>
      <c r="BH24" s="16" t="str">
        <f>IF($B24="-","-",IF(VLOOKUP(ROUND(CONCATENATE($A24,BH$2),0),'Cadastro - Padrões'!$A$2:$T$1160,BH$1,FALSE)="","-",VLOOKUP(ROUND(CONCATENATE($A24,BH$2),0),'Cadastro - Padrões'!$A$2:$T$1160,BH$1,FALSE)))</f>
        <v>-</v>
      </c>
      <c r="BI24" s="16" t="str">
        <f>IF($B24="-","-",IF(VLOOKUP(ROUND(CONCATENATE($A24,BI$2),0),'Cadastro - Padrões'!$A$2:$T$1160,BI$1,FALSE)="","-",VLOOKUP(ROUND(CONCATENATE($A24,BI$2),0),'Cadastro - Padrões'!$A$2:$T$1160,BI$1,FALSE)))</f>
        <v>-</v>
      </c>
      <c r="BJ24" s="16" t="str">
        <f>IF($B24="-","-",IF(VLOOKUP(ROUND(CONCATENATE($A24,BJ$2),0),'Cadastro - Padrões'!$A$2:$T$1160,BJ$1,FALSE)="","-",VLOOKUP(ROUND(CONCATENATE($A24,BJ$2),0),'Cadastro - Padrões'!$A$2:$T$1160,BJ$1,FALSE)))</f>
        <v>-</v>
      </c>
      <c r="BK24" s="16" t="str">
        <f>IF($B24="-","-",IF(VLOOKUP(ROUND(CONCATENATE($A24,BK$2),0),'Cadastro - Padrões'!$A$2:$T$1160,BK$1,FALSE)="","-",VLOOKUP(ROUND(CONCATENATE($A24,BK$2),0),'Cadastro - Padrões'!$A$2:$T$1160,BK$1,FALSE)))</f>
        <v>-</v>
      </c>
      <c r="BL24" s="16" t="str">
        <f>IF($B24="-","-",IF(VLOOKUP(ROUND(CONCATENATE($A24,BL$2),0),'Cadastro - Padrões'!$A$2:$T$1160,BL$1,FALSE)="","-",VLOOKUP(ROUND(CONCATENATE($A24,BL$2),0),'Cadastro - Padrões'!$A$2:$T$1160,BL$1,FALSE)))</f>
        <v>-</v>
      </c>
      <c r="BM24" s="16" t="str">
        <f>IF($B24="-","-",IF(VLOOKUP(ROUND(CONCATENATE($A24,BM$2),0),'Cadastro - Padrões'!$A$2:$T$1160,BM$1,FALSE)="","-",VLOOKUP(ROUND(CONCATENATE($A24,BM$2),0),'Cadastro - Padrões'!$A$2:$T$1160,BM$1,FALSE)))</f>
        <v>-</v>
      </c>
      <c r="BN24" s="16" t="str">
        <f>IF($B24="-","-",IF(VLOOKUP(ROUND(CONCATENATE($A24,BN$2),0),'Cadastro - Padrões'!$A$2:$T$1160,BN$1,FALSE)="","-",VLOOKUP(ROUND(CONCATENATE($A24,BN$2),0),'Cadastro - Padrões'!$A$2:$T$1160,BN$1,FALSE)))</f>
        <v>-</v>
      </c>
      <c r="BO24" s="16" t="str">
        <f>IF($B24="-","-",IF(VLOOKUP(ROUND(CONCATENATE($A24,BO$2),0),'Cadastro - Padrões'!$A$2:$T$1160,BO$1,FALSE)="","-",VLOOKUP(ROUND(CONCATENATE($A24,BO$2),0),'Cadastro - Padrões'!$A$2:$T$1160,BO$1,FALSE)))</f>
        <v>-</v>
      </c>
      <c r="BP24" s="16" t="str">
        <f>IF($B24="-","-",IF(VLOOKUP(ROUND(CONCATENATE($A24,BP$2),0),'Cadastro - Padrões'!$A$2:$T$1160,BP$1,FALSE)="","-",VLOOKUP(ROUND(CONCATENATE($A24,BP$2),0),'Cadastro - Padrões'!$A$2:$T$1160,BP$1,FALSE)))</f>
        <v>-</v>
      </c>
      <c r="BQ24" s="16" t="str">
        <f>IF($B24="-","-",IF(VLOOKUP(ROUND(CONCATENATE($A24,BQ$2),0),'Cadastro - Padrões'!$A$2:$T$1160,BQ$1,FALSE)="","-",VLOOKUP(ROUND(CONCATENATE($A24,BQ$2),0),'Cadastro - Padrões'!$A$2:$T$1160,BQ$1,FALSE)))</f>
        <v>-</v>
      </c>
      <c r="BR24" s="16" t="str">
        <f>IF($B24="-","-",IF(VLOOKUP(ROUND(CONCATENATE($A24,BR$2),0),'Cadastro - Padrões'!$A$2:$T$1160,BR$1,FALSE)="","-",VLOOKUP(ROUND(CONCATENATE($A24,BR$2),0),'Cadastro - Padrões'!$A$2:$T$1160,BR$1,FALSE)))</f>
        <v>-</v>
      </c>
      <c r="BS24" s="16" t="str">
        <f>IF($B24="-","-",IF(VLOOKUP(ROUND(CONCATENATE($A24,BS$2),0),'Cadastro - Padrões'!$A$2:$T$1160,BS$1,FALSE)="","-",VLOOKUP(ROUND(CONCATENATE($A24,BS$2),0),'Cadastro - Padrões'!$A$2:$T$1160,BS$1,FALSE)))</f>
        <v>-</v>
      </c>
      <c r="BT24" s="16" t="str">
        <f>IF($B24="-","-",IF(VLOOKUP(ROUND(CONCATENATE($A24,BT$2),0),'Cadastro - Padrões'!$A$2:$T$1160,BT$1,FALSE)="","-",VLOOKUP(ROUND(CONCATENATE($A24,BT$2),0),'Cadastro - Padrões'!$A$2:$T$1160,BT$1,FALSE)))</f>
        <v>-</v>
      </c>
      <c r="BU24" s="16" t="str">
        <f>IF($B24="-","-",IF(VLOOKUP(ROUND(CONCATENATE($A24,BU$2),0),'Cadastro - Padrões'!$A$2:$T$1160,BU$1,FALSE)="","-",VLOOKUP(ROUND(CONCATENATE($A24,BU$2),0),'Cadastro - Padrões'!$A$2:$T$1160,BU$1,FALSE)))</f>
        <v>-</v>
      </c>
      <c r="BV24" s="16" t="str">
        <f>IF($B24="-","-",IF(VLOOKUP(ROUND(CONCATENATE($A24,BV$2),0),'Cadastro - Padrões'!$A$2:$T$1160,BV$1,FALSE)="","-",VLOOKUP(ROUND(CONCATENATE($A24,BV$2),0),'Cadastro - Padrões'!$A$2:$T$1160,BV$1,FALSE)))</f>
        <v>-</v>
      </c>
      <c r="BW24" s="16" t="str">
        <f>IF($B24="-","-",IF(VLOOKUP(ROUND(CONCATENATE($A24,BW$2),0),'Cadastro - Padrões'!$A$2:$T$1160,BW$1,FALSE)="","-",VLOOKUP(ROUND(CONCATENATE($A24,BW$2),0),'Cadastro - Padrões'!$A$2:$T$1160,BW$1,FALSE)))</f>
        <v>-</v>
      </c>
      <c r="BX24" s="16" t="str">
        <f>IF($B24="-","-",IF(VLOOKUP(ROUND(CONCATENATE($A24,BX$2),0),'Cadastro - Padrões'!$A$2:$T$1160,BX$1,FALSE)="","-",VLOOKUP(ROUND(CONCATENATE($A24,BX$2),0),'Cadastro - Padrões'!$A$2:$T$1160,BX$1,FALSE)))</f>
        <v>-</v>
      </c>
      <c r="BY24" s="16" t="str">
        <f>IF($B24="-","-",IF(VLOOKUP(ROUND(CONCATENATE($A24,BY$2),0),'Cadastro - Padrões'!$A$2:$T$1160,BY$1,FALSE)="","-",VLOOKUP(ROUND(CONCATENATE($A24,BY$2),0),'Cadastro - Padrões'!$A$2:$T$1160,BY$1,FALSE)))</f>
        <v>-</v>
      </c>
      <c r="BZ24" s="16" t="str">
        <f>IF($B24="-","-",IF(VLOOKUP(ROUND(CONCATENATE($A24,BZ$2),0),'Cadastro - Padrões'!$A$2:$T$1160,BZ$1,FALSE)="","-",VLOOKUP(ROUND(CONCATENATE($A24,BZ$2),0),'Cadastro - Padrões'!$A$2:$T$1160,BZ$1,FALSE)))</f>
        <v>-</v>
      </c>
      <c r="CA24" s="16" t="str">
        <f>IF($B24="-","-",IF(VLOOKUP(ROUND(CONCATENATE($A24,CA$2),0),'Cadastro - Padrões'!$A$2:$T$1160,CA$1,FALSE)="","-",VLOOKUP(ROUND(CONCATENATE($A24,CA$2),0),'Cadastro - Padrões'!$A$2:$T$1160,CA$1,FALSE)))</f>
        <v>-</v>
      </c>
      <c r="CB24" s="16" t="str">
        <f>IF($B24="-","-",IF(VLOOKUP(ROUND(CONCATENATE($A24,CB$2),0),'Cadastro - Padrões'!$A$2:$T$1160,CB$1,FALSE)="","-",VLOOKUP(ROUND(CONCATENATE($A24,CB$2),0),'Cadastro - Padrões'!$A$2:$T$1160,CB$1,FALSE)))</f>
        <v>-</v>
      </c>
      <c r="CC24" s="16" t="str">
        <f>IF($B24="-","-",IF(VLOOKUP(ROUND(CONCATENATE($A24,CC$2),0),'Cadastro - Padrões'!$A$2:$T$1160,CC$1,FALSE)="","-",VLOOKUP(ROUND(CONCATENATE($A24,CC$2),0),'Cadastro - Padrões'!$A$2:$T$1160,CC$1,FALSE)))</f>
        <v>-</v>
      </c>
    </row>
    <row r="25" spans="1:81" x14ac:dyDescent="0.3">
      <c r="A25" s="15">
        <f t="shared" si="82"/>
        <v>20</v>
      </c>
      <c r="B25" s="16" t="str">
        <f>IF(VLOOKUP(ROUND(CONCATENATE($A25,B$2),0),'Cadastro - Padrões'!$A$2:$T$1160,B$1,FALSE)="","-",VLOOKUP(ROUND(CONCATENATE($A25,B$2),0),'Cadastro - Padrões'!$A$2:$T$1160,B$1,FALSE))</f>
        <v>M.MS.LM-012</v>
      </c>
      <c r="C25" s="16" t="str">
        <f>IF(VLOOKUP(ROUND(CONCATENATE($A25,C$2),0),'Cadastro - Padrões'!$A$2:$T$1160,C$1,FALSE)="","-",VLOOKUP(ROUND(CONCATENATE($A25,C$2),0),'Cadastro - Padrões'!$A$2:$T$1160,C$1,FALSE))</f>
        <v>Barômetro Digital</v>
      </c>
      <c r="D25" s="16" t="str">
        <f>IF($B25="-","-",VLOOKUP(ROUND(CONCATENATE($A25,D$2),0),'Cadastro - Padrões'!$A$2:$T$1160,D$1,FALSE))</f>
        <v>Elus</v>
      </c>
      <c r="E25" s="16" t="str">
        <f>IF($B25="-","-",VLOOKUP(ROUND(CONCATENATE($A25,E$2),0),'Cadastro - Padrões'!$A$2:$T$1160,E$1,FALSE))</f>
        <v>RBC - CAL 0439</v>
      </c>
      <c r="F25" s="16" t="str">
        <f>IF($B25="-","-",VLOOKUP(ROUND(CONCATENATE($A25,F$2),0),'Cadastro - Padrões'!$A$2:$T$1160,F$1,FALSE))</f>
        <v>E0526A/24</v>
      </c>
      <c r="G25" s="17">
        <f>IF($B25="-","-",VLOOKUP(ROUND(CONCATENATE($A25,G$2),0),'Cadastro - Padrões'!$A$2:$T$1160,G$1,FALSE))</f>
        <v>45632</v>
      </c>
      <c r="H25" s="18">
        <f>IF($B25="-","-",VLOOKUP(ROUND(CONCATENATE($A25,H$2),0),'Cadastro - Padrões'!$A$2:$T$1160,H$1,FALSE))</f>
        <v>46386</v>
      </c>
      <c r="I25" s="16" t="str">
        <f>IF($B25="-","-",VLOOKUP(ROUND(CONCATENATE($A25,I$2),0),'Cadastro - Padrões'!$A$2:$T$1160,I$1,FALSE))</f>
        <v>hPa</v>
      </c>
      <c r="J25" s="16">
        <f>IF($B25="-","-",VLOOKUP(ROUND(CONCATENATE($A25,J$2),0),'Cadastro - Padrões'!$A$2:$T$1160,J$1,FALSE))</f>
        <v>600</v>
      </c>
      <c r="K25" s="16">
        <f>IF($B25="-","-",VLOOKUP(ROUND(CONCATENATE($A25,K$2),0),'Cadastro - Padrões'!$A$2:$T$1160,K$1,FALSE))</f>
        <v>1100</v>
      </c>
      <c r="L25" s="16">
        <f>IF($B25="-","-",VLOOKUP(ROUND(CONCATENATE($A25,L$2),0),'Cadastro - Padrões'!$A$2:$T$1160,L$1,FALSE))</f>
        <v>1</v>
      </c>
      <c r="M25" s="19">
        <f>IF($B25="-","-",VLOOKUP(ROUND(CONCATENATE($A25,M$2),0),'Cadastro - Padrões'!$A$2:$T$1160,M$1,FALSE))</f>
        <v>1</v>
      </c>
      <c r="N25" s="16">
        <f>IF($B25="-","-",VLOOKUP(ROUND(CONCATENATE($A25,N$2),0),'Cadastro - Padrões'!$A$2:$T$1160,N$1,FALSE))</f>
        <v>1</v>
      </c>
      <c r="O25" s="19">
        <f>IF($B25="-","-",VLOOKUP(ROUND(CONCATENATE($A25,O$2),0),'Cadastro - Padrões'!$A$2:$T$1160,O$1,FALSE))</f>
        <v>2</v>
      </c>
      <c r="P25" s="16">
        <f>IF($B25="-","-",VLOOKUP(ROUND(CONCATENATE($A25,P$2),0),'Cadastro - Padrões'!$A$2:$T$1160,P$1,FALSE))</f>
        <v>0</v>
      </c>
      <c r="Q25" s="16">
        <f>IF($B25="-","-",VLOOKUP(ROUND(CONCATENATE($A25,Q$2),0),'Cadastro - Padrões'!$A$2:$T$1160,Q$1,FALSE))</f>
        <v>3</v>
      </c>
      <c r="R25" s="16">
        <f>IF($B25="-","-",VLOOKUP(ROUND(CONCATENATE($A25,R$2),0),'Cadastro - Padrões'!$A$2:$T$1160,R$1,FALSE))</f>
        <v>0</v>
      </c>
      <c r="S25" s="16">
        <f>IF($B25="-","-",VLOOKUP(ROUND(CONCATENATE($A25,S$2),0),'Cadastro - Padrões'!$A$2:$T$1160,S$1,FALSE))</f>
        <v>0</v>
      </c>
      <c r="T25" s="16">
        <f>IF($B25="-","-",VLOOKUP(ROUND(CONCATENATE($A25,T$2),0),'Cadastro - Padrões'!$A$2:$T$1160,T$1,FALSE))</f>
        <v>1</v>
      </c>
      <c r="U25" s="16">
        <f>IF($B25="-","-",VLOOKUP(ROUND(CONCATENATE($A25,U$2),0),'Cadastro - Padrões'!$A$2:$T$1160,U$1,FALSE))</f>
        <v>1</v>
      </c>
      <c r="V25" s="16">
        <f>IF($B25="-","-",IF(VLOOKUP(ROUND(CONCATENATE($A25,V$2),0),'Cadastro - Padrões'!$A$2:$T$1160,V$1,FALSE)="","-",VLOOKUP(ROUND(CONCATENATE($A25,V$2),0),'Cadastro - Padrões'!$A$2:$T$1160,V$1,FALSE)))</f>
        <v>600</v>
      </c>
      <c r="W25" s="16">
        <f>IF($B25="-","-",IF(VLOOKUP(ROUND(CONCATENATE($A25,W$2),0),'Cadastro - Padrões'!$A$2:$T$1160,W$1,FALSE)="","-",VLOOKUP(ROUND(CONCATENATE($A25,W$2),0),'Cadastro - Padrões'!$A$2:$T$1160,W$1,FALSE)))</f>
        <v>1</v>
      </c>
      <c r="X25" s="16">
        <f>IF($B25="-","-",IF(VLOOKUP(ROUND(CONCATENATE($A25,X$2),0),'Cadastro - Padrões'!$A$2:$T$1160,X$1,FALSE)="","-",VLOOKUP(ROUND(CONCATENATE($A25,X$2),0),'Cadastro - Padrões'!$A$2:$T$1160,X$1,FALSE)))</f>
        <v>2</v>
      </c>
      <c r="Y25" s="16">
        <f>IF($B25="-","-",IF(VLOOKUP(ROUND(CONCATENATE($A25,Y$2),0),'Cadastro - Padrões'!$A$2:$T$1160,Y$1,FALSE)="","-",VLOOKUP(ROUND(CONCATENATE($A25,Y$2),0),'Cadastro - Padrões'!$A$2:$T$1160,Y$1,FALSE)))</f>
        <v>1000000</v>
      </c>
      <c r="Z25" s="16">
        <f>IF($B25="-","-",IF(VLOOKUP(ROUND(CONCATENATE($A25,Z$2),0),'Cadastro - Padrões'!$A$2:$T$1160,Z$1,FALSE)="","-",VLOOKUP(ROUND(CONCATENATE($A25,Z$2),0),'Cadastro - Padrões'!$A$2:$T$1160,Z$1,FALSE)))</f>
        <v>700</v>
      </c>
      <c r="AA25" s="16">
        <f>IF($B25="-","-",IF(VLOOKUP(ROUND(CONCATENATE($A25,AA$2),0),'Cadastro - Padrões'!$A$2:$T$1160,AA$1,FALSE)="","-",VLOOKUP(ROUND(CONCATENATE($A25,AA$2),0),'Cadastro - Padrões'!$A$2:$T$1160,AA$1,FALSE)))</f>
        <v>1</v>
      </c>
      <c r="AB25" s="16">
        <f>IF($B25="-","-",IF(VLOOKUP(ROUND(CONCATENATE($A25,AB$2),0),'Cadastro - Padrões'!$A$2:$T$1160,AB$1,FALSE)="","-",VLOOKUP(ROUND(CONCATENATE($A25,AB$2),0),'Cadastro - Padrões'!$A$2:$T$1160,AB$1,FALSE)))</f>
        <v>2</v>
      </c>
      <c r="AC25" s="16">
        <f>IF($B25="-","-",IF(VLOOKUP(ROUND(CONCATENATE($A25,AC$2),0),'Cadastro - Padrões'!$A$2:$T$1160,AC$1,FALSE)="","-",VLOOKUP(ROUND(CONCATENATE($A25,AC$2),0),'Cadastro - Padrões'!$A$2:$T$1160,AC$1,FALSE)))</f>
        <v>1000000</v>
      </c>
      <c r="AD25" s="16">
        <f>IF($B25="-","-",IF(VLOOKUP(ROUND(CONCATENATE($A25,AD$2),0),'Cadastro - Padrões'!$A$2:$T$1160,AD$1,FALSE)="","-",VLOOKUP(ROUND(CONCATENATE($A25,AD$2),0),'Cadastro - Padrões'!$A$2:$T$1160,AD$1,FALSE)))</f>
        <v>800</v>
      </c>
      <c r="AE25" s="16">
        <f>IF($B25="-","-",IF(VLOOKUP(ROUND(CONCATENATE($A25,AE$2),0),'Cadastro - Padrões'!$A$2:$T$1160,AE$1,FALSE)="","-",VLOOKUP(ROUND(CONCATENATE($A25,AE$2),0),'Cadastro - Padrões'!$A$2:$T$1160,AE$1,FALSE)))</f>
        <v>1</v>
      </c>
      <c r="AF25" s="16">
        <f>IF($B25="-","-",IF(VLOOKUP(ROUND(CONCATENATE($A25,AF$2),0),'Cadastro - Padrões'!$A$2:$T$1160,AF$1,FALSE)="","-",VLOOKUP(ROUND(CONCATENATE($A25,AF$2),0),'Cadastro - Padrões'!$A$2:$T$1160,AF$1,FALSE)))</f>
        <v>2</v>
      </c>
      <c r="AG25" s="16">
        <f>IF($B25="-","-",IF(VLOOKUP(ROUND(CONCATENATE($A25,AG$2),0),'Cadastro - Padrões'!$A$2:$T$1160,AG$1,FALSE)="","-",VLOOKUP(ROUND(CONCATENATE($A25,AG$2),0),'Cadastro - Padrões'!$A$2:$T$1160,AG$1,FALSE)))</f>
        <v>1000000</v>
      </c>
      <c r="AH25" s="16">
        <f>IF($B25="-","-",IF(VLOOKUP(ROUND(CONCATENATE($A25,AH$2),0),'Cadastro - Padrões'!$A$2:$T$1160,AH$1,FALSE)="","-",VLOOKUP(ROUND(CONCATENATE($A25,AH$2),0),'Cadastro - Padrões'!$A$2:$T$1160,AH$1,FALSE)))</f>
        <v>900</v>
      </c>
      <c r="AI25" s="16">
        <f>IF($B25="-","-",IF(VLOOKUP(ROUND(CONCATENATE($A25,AI$2),0),'Cadastro - Padrões'!$A$2:$T$1160,AI$1,FALSE)="","-",VLOOKUP(ROUND(CONCATENATE($A25,AI$2),0),'Cadastro - Padrões'!$A$2:$T$1160,AI$1,FALSE)))</f>
        <v>1</v>
      </c>
      <c r="AJ25" s="16">
        <f>IF($B25="-","-",IF(VLOOKUP(ROUND(CONCATENATE($A25,AJ$2),0),'Cadastro - Padrões'!$A$2:$T$1160,AJ$1,FALSE)="","-",VLOOKUP(ROUND(CONCATENATE($A25,AJ$2),0),'Cadastro - Padrões'!$A$2:$T$1160,AJ$1,FALSE)))</f>
        <v>2</v>
      </c>
      <c r="AK25" s="16">
        <f>IF($B25="-","-",IF(VLOOKUP(ROUND(CONCATENATE($A25,AK$2),0),'Cadastro - Padrões'!$A$2:$T$1160,AK$1,FALSE)="","-",VLOOKUP(ROUND(CONCATENATE($A25,AK$2),0),'Cadastro - Padrões'!$A$2:$T$1160,AK$1,FALSE)))</f>
        <v>1000000</v>
      </c>
      <c r="AL25" s="16">
        <f>IF($B25="-","-",IF(VLOOKUP(ROUND(CONCATENATE($A25,AL$2),0),'Cadastro - Padrões'!$A$2:$T$1160,AL$1,FALSE)="","-",VLOOKUP(ROUND(CONCATENATE($A25,AL$2),0),'Cadastro - Padrões'!$A$2:$T$1160,AL$1,FALSE)))</f>
        <v>1000</v>
      </c>
      <c r="AM25" s="16">
        <f>IF($B25="-","-",IF(VLOOKUP(ROUND(CONCATENATE($A25,AM$2),0),'Cadastro - Padrões'!$A$2:$T$1160,AM$1,FALSE)="","-",VLOOKUP(ROUND(CONCATENATE($A25,AM$2),0),'Cadastro - Padrões'!$A$2:$T$1160,AM$1,FALSE)))</f>
        <v>1</v>
      </c>
      <c r="AN25" s="16">
        <f>IF($B25="-","-",IF(VLOOKUP(ROUND(CONCATENATE($A25,AN$2),0),'Cadastro - Padrões'!$A$2:$T$1160,AN$1,FALSE)="","-",VLOOKUP(ROUND(CONCATENATE($A25,AN$2),0),'Cadastro - Padrões'!$A$2:$T$1160,AN$1,FALSE)))</f>
        <v>2</v>
      </c>
      <c r="AO25" s="16">
        <f>IF($B25="-","-",IF(VLOOKUP(ROUND(CONCATENATE($A25,AO$2),0),'Cadastro - Padrões'!$A$2:$T$1160,AO$1,FALSE)="","-",VLOOKUP(ROUND(CONCATENATE($A25,AO$2),0),'Cadastro - Padrões'!$A$2:$T$1160,AO$1,FALSE)))</f>
        <v>1000000</v>
      </c>
      <c r="AP25" s="16">
        <f>IF($B25="-","-",IF(VLOOKUP(ROUND(CONCATENATE($A25,AP$2),0),'Cadastro - Padrões'!$A$2:$T$1160,AP$1,FALSE)="","-",VLOOKUP(ROUND(CONCATENATE($A25,AP$2),0),'Cadastro - Padrões'!$A$2:$T$1160,AP$1,FALSE)))</f>
        <v>1100</v>
      </c>
      <c r="AQ25" s="16">
        <f>IF($B25="-","-",IF(VLOOKUP(ROUND(CONCATENATE($A25,AQ$2),0),'Cadastro - Padrões'!$A$2:$T$1160,AQ$1,FALSE)="","-",VLOOKUP(ROUND(CONCATENATE($A25,AQ$2),0),'Cadastro - Padrões'!$A$2:$T$1160,AQ$1,FALSE)))</f>
        <v>1</v>
      </c>
      <c r="AR25" s="16">
        <f>IF($B25="-","-",IF(VLOOKUP(ROUND(CONCATENATE($A25,AR$2),0),'Cadastro - Padrões'!$A$2:$T$1160,AR$1,FALSE)="","-",VLOOKUP(ROUND(CONCATENATE($A25,AR$2),0),'Cadastro - Padrões'!$A$2:$T$1160,AR$1,FALSE)))</f>
        <v>2</v>
      </c>
      <c r="AS25" s="16">
        <f>IF($B25="-","-",IF(VLOOKUP(ROUND(CONCATENATE($A25,AS$2),0),'Cadastro - Padrões'!$A$2:$T$1160,AS$1,FALSE)="","-",VLOOKUP(ROUND(CONCATENATE($A25,AS$2),0),'Cadastro - Padrões'!$A$2:$T$1160,AS$1,FALSE)))</f>
        <v>1000000</v>
      </c>
      <c r="AT25" s="16" t="str">
        <f>IF($B25="-","-",IF(VLOOKUP(ROUND(CONCATENATE($A25,AT$2),0),'Cadastro - Padrões'!$A$2:$T$1160,AT$1,FALSE)="","-",VLOOKUP(ROUND(CONCATENATE($A25,AT$2),0),'Cadastro - Padrões'!$A$2:$T$1160,AT$1,FALSE)))</f>
        <v>-</v>
      </c>
      <c r="AU25" s="16" t="str">
        <f>IF($B25="-","-",IF(VLOOKUP(ROUND(CONCATENATE($A25,AU$2),0),'Cadastro - Padrões'!$A$2:$T$1160,AU$1,FALSE)="","-",VLOOKUP(ROUND(CONCATENATE($A25,AU$2),0),'Cadastro - Padrões'!$A$2:$T$1160,AU$1,FALSE)))</f>
        <v>-</v>
      </c>
      <c r="AV25" s="16" t="str">
        <f>IF($B25="-","-",IF(VLOOKUP(ROUND(CONCATENATE($A25,AV$2),0),'Cadastro - Padrões'!$A$2:$T$1160,AV$1,FALSE)="","-",VLOOKUP(ROUND(CONCATENATE($A25,AV$2),0),'Cadastro - Padrões'!$A$2:$T$1160,AV$1,FALSE)))</f>
        <v>-</v>
      </c>
      <c r="AW25" s="16" t="str">
        <f>IF($B25="-","-",IF(VLOOKUP(ROUND(CONCATENATE($A25,AW$2),0),'Cadastro - Padrões'!$A$2:$T$1160,AW$1,FALSE)="","-",VLOOKUP(ROUND(CONCATENATE($A25,AW$2),0),'Cadastro - Padrões'!$A$2:$T$1160,AW$1,FALSE)))</f>
        <v>-</v>
      </c>
      <c r="AX25" s="16" t="str">
        <f>IF($B25="-","-",IF(VLOOKUP(ROUND(CONCATENATE($A25,AX$2),0),'Cadastro - Padrões'!$A$2:$T$1160,AX$1,FALSE)="","-",VLOOKUP(ROUND(CONCATENATE($A25,AX$2),0),'Cadastro - Padrões'!$A$2:$T$1160,AX$1,FALSE)))</f>
        <v>-</v>
      </c>
      <c r="AY25" s="16" t="str">
        <f>IF($B25="-","-",IF(VLOOKUP(ROUND(CONCATENATE($A25,AY$2),0),'Cadastro - Padrões'!$A$2:$T$1160,AY$1,FALSE)="","-",VLOOKUP(ROUND(CONCATENATE($A25,AY$2),0),'Cadastro - Padrões'!$A$2:$T$1160,AY$1,FALSE)))</f>
        <v>-</v>
      </c>
      <c r="AZ25" s="16" t="str">
        <f>IF($B25="-","-",IF(VLOOKUP(ROUND(CONCATENATE($A25,AZ$2),0),'Cadastro - Padrões'!$A$2:$T$1160,AZ$1,FALSE)="","-",VLOOKUP(ROUND(CONCATENATE($A25,AZ$2),0),'Cadastro - Padrões'!$A$2:$T$1160,AZ$1,FALSE)))</f>
        <v>-</v>
      </c>
      <c r="BA25" s="16" t="str">
        <f>IF($B25="-","-",IF(VLOOKUP(ROUND(CONCATENATE($A25,BA$2),0),'Cadastro - Padrões'!$A$2:$T$1160,BA$1,FALSE)="","-",VLOOKUP(ROUND(CONCATENATE($A25,BA$2),0),'Cadastro - Padrões'!$A$2:$T$1160,BA$1,FALSE)))</f>
        <v>-</v>
      </c>
      <c r="BB25" s="16" t="str">
        <f>IF($B25="-","-",IF(VLOOKUP(ROUND(CONCATENATE($A25,BB$2),0),'Cadastro - Padrões'!$A$2:$T$1160,BB$1,FALSE)="","-",VLOOKUP(ROUND(CONCATENATE($A25,BB$2),0),'Cadastro - Padrões'!$A$2:$T$1160,BB$1,FALSE)))</f>
        <v>-</v>
      </c>
      <c r="BC25" s="16" t="str">
        <f>IF($B25="-","-",IF(VLOOKUP(ROUND(CONCATENATE($A25,BC$2),0),'Cadastro - Padrões'!$A$2:$T$1160,BC$1,FALSE)="","-",VLOOKUP(ROUND(CONCATENATE($A25,BC$2),0),'Cadastro - Padrões'!$A$2:$T$1160,BC$1,FALSE)))</f>
        <v>-</v>
      </c>
      <c r="BD25" s="16" t="str">
        <f>IF($B25="-","-",IF(VLOOKUP(ROUND(CONCATENATE($A25,BD$2),0),'Cadastro - Padrões'!$A$2:$T$1160,BD$1,FALSE)="","-",VLOOKUP(ROUND(CONCATENATE($A25,BD$2),0),'Cadastro - Padrões'!$A$2:$T$1160,BD$1,FALSE)))</f>
        <v>-</v>
      </c>
      <c r="BE25" s="16" t="str">
        <f>IF($B25="-","-",IF(VLOOKUP(ROUND(CONCATENATE($A25,BE$2),0),'Cadastro - Padrões'!$A$2:$T$1160,BE$1,FALSE)="","-",VLOOKUP(ROUND(CONCATENATE($A25,BE$2),0),'Cadastro - Padrões'!$A$2:$T$1160,BE$1,FALSE)))</f>
        <v>-</v>
      </c>
      <c r="BF25" s="16" t="str">
        <f>IF($B25="-","-",IF(VLOOKUP(ROUND(CONCATENATE($A25,BF$2),0),'Cadastro - Padrões'!$A$2:$T$1160,BF$1,FALSE)="","-",VLOOKUP(ROUND(CONCATENATE($A25,BF$2),0),'Cadastro - Padrões'!$A$2:$T$1160,BF$1,FALSE)))</f>
        <v>-</v>
      </c>
      <c r="BG25" s="16" t="str">
        <f>IF($B25="-","-",IF(VLOOKUP(ROUND(CONCATENATE($A25,BG$2),0),'Cadastro - Padrões'!$A$2:$T$1160,BG$1,FALSE)="","-",VLOOKUP(ROUND(CONCATENATE($A25,BG$2),0),'Cadastro - Padrões'!$A$2:$T$1160,BG$1,FALSE)))</f>
        <v>-</v>
      </c>
      <c r="BH25" s="16" t="str">
        <f>IF($B25="-","-",IF(VLOOKUP(ROUND(CONCATENATE($A25,BH$2),0),'Cadastro - Padrões'!$A$2:$T$1160,BH$1,FALSE)="","-",VLOOKUP(ROUND(CONCATENATE($A25,BH$2),0),'Cadastro - Padrões'!$A$2:$T$1160,BH$1,FALSE)))</f>
        <v>-</v>
      </c>
      <c r="BI25" s="16" t="str">
        <f>IF($B25="-","-",IF(VLOOKUP(ROUND(CONCATENATE($A25,BI$2),0),'Cadastro - Padrões'!$A$2:$T$1160,BI$1,FALSE)="","-",VLOOKUP(ROUND(CONCATENATE($A25,BI$2),0),'Cadastro - Padrões'!$A$2:$T$1160,BI$1,FALSE)))</f>
        <v>-</v>
      </c>
      <c r="BJ25" s="16" t="str">
        <f>IF($B25="-","-",IF(VLOOKUP(ROUND(CONCATENATE($A25,BJ$2),0),'Cadastro - Padrões'!$A$2:$T$1160,BJ$1,FALSE)="","-",VLOOKUP(ROUND(CONCATENATE($A25,BJ$2),0),'Cadastro - Padrões'!$A$2:$T$1160,BJ$1,FALSE)))</f>
        <v>-</v>
      </c>
      <c r="BK25" s="16" t="str">
        <f>IF($B25="-","-",IF(VLOOKUP(ROUND(CONCATENATE($A25,BK$2),0),'Cadastro - Padrões'!$A$2:$T$1160,BK$1,FALSE)="","-",VLOOKUP(ROUND(CONCATENATE($A25,BK$2),0),'Cadastro - Padrões'!$A$2:$T$1160,BK$1,FALSE)))</f>
        <v>-</v>
      </c>
      <c r="BL25" s="16" t="str">
        <f>IF($B25="-","-",IF(VLOOKUP(ROUND(CONCATENATE($A25,BL$2),0),'Cadastro - Padrões'!$A$2:$T$1160,BL$1,FALSE)="","-",VLOOKUP(ROUND(CONCATENATE($A25,BL$2),0),'Cadastro - Padrões'!$A$2:$T$1160,BL$1,FALSE)))</f>
        <v>-</v>
      </c>
      <c r="BM25" s="16" t="str">
        <f>IF($B25="-","-",IF(VLOOKUP(ROUND(CONCATENATE($A25,BM$2),0),'Cadastro - Padrões'!$A$2:$T$1160,BM$1,FALSE)="","-",VLOOKUP(ROUND(CONCATENATE($A25,BM$2),0),'Cadastro - Padrões'!$A$2:$T$1160,BM$1,FALSE)))</f>
        <v>-</v>
      </c>
      <c r="BN25" s="16" t="str">
        <f>IF($B25="-","-",IF(VLOOKUP(ROUND(CONCATENATE($A25,BN$2),0),'Cadastro - Padrões'!$A$2:$T$1160,BN$1,FALSE)="","-",VLOOKUP(ROUND(CONCATENATE($A25,BN$2),0),'Cadastro - Padrões'!$A$2:$T$1160,BN$1,FALSE)))</f>
        <v>-</v>
      </c>
      <c r="BO25" s="16" t="str">
        <f>IF($B25="-","-",IF(VLOOKUP(ROUND(CONCATENATE($A25,BO$2),0),'Cadastro - Padrões'!$A$2:$T$1160,BO$1,FALSE)="","-",VLOOKUP(ROUND(CONCATENATE($A25,BO$2),0),'Cadastro - Padrões'!$A$2:$T$1160,BO$1,FALSE)))</f>
        <v>-</v>
      </c>
      <c r="BP25" s="16" t="str">
        <f>IF($B25="-","-",IF(VLOOKUP(ROUND(CONCATENATE($A25,BP$2),0),'Cadastro - Padrões'!$A$2:$T$1160,BP$1,FALSE)="","-",VLOOKUP(ROUND(CONCATENATE($A25,BP$2),0),'Cadastro - Padrões'!$A$2:$T$1160,BP$1,FALSE)))</f>
        <v>-</v>
      </c>
      <c r="BQ25" s="16" t="str">
        <f>IF($B25="-","-",IF(VLOOKUP(ROUND(CONCATENATE($A25,BQ$2),0),'Cadastro - Padrões'!$A$2:$T$1160,BQ$1,FALSE)="","-",VLOOKUP(ROUND(CONCATENATE($A25,BQ$2),0),'Cadastro - Padrões'!$A$2:$T$1160,BQ$1,FALSE)))</f>
        <v>-</v>
      </c>
      <c r="BR25" s="16" t="str">
        <f>IF($B25="-","-",IF(VLOOKUP(ROUND(CONCATENATE($A25,BR$2),0),'Cadastro - Padrões'!$A$2:$T$1160,BR$1,FALSE)="","-",VLOOKUP(ROUND(CONCATENATE($A25,BR$2),0),'Cadastro - Padrões'!$A$2:$T$1160,BR$1,FALSE)))</f>
        <v>-</v>
      </c>
      <c r="BS25" s="16" t="str">
        <f>IF($B25="-","-",IF(VLOOKUP(ROUND(CONCATENATE($A25,BS$2),0),'Cadastro - Padrões'!$A$2:$T$1160,BS$1,FALSE)="","-",VLOOKUP(ROUND(CONCATENATE($A25,BS$2),0),'Cadastro - Padrões'!$A$2:$T$1160,BS$1,FALSE)))</f>
        <v>-</v>
      </c>
      <c r="BT25" s="16" t="str">
        <f>IF($B25="-","-",IF(VLOOKUP(ROUND(CONCATENATE($A25,BT$2),0),'Cadastro - Padrões'!$A$2:$T$1160,BT$1,FALSE)="","-",VLOOKUP(ROUND(CONCATENATE($A25,BT$2),0),'Cadastro - Padrões'!$A$2:$T$1160,BT$1,FALSE)))</f>
        <v>-</v>
      </c>
      <c r="BU25" s="16" t="str">
        <f>IF($B25="-","-",IF(VLOOKUP(ROUND(CONCATENATE($A25,BU$2),0),'Cadastro - Padrões'!$A$2:$T$1160,BU$1,FALSE)="","-",VLOOKUP(ROUND(CONCATENATE($A25,BU$2),0),'Cadastro - Padrões'!$A$2:$T$1160,BU$1,FALSE)))</f>
        <v>-</v>
      </c>
      <c r="BV25" s="16" t="str">
        <f>IF($B25="-","-",IF(VLOOKUP(ROUND(CONCATENATE($A25,BV$2),0),'Cadastro - Padrões'!$A$2:$T$1160,BV$1,FALSE)="","-",VLOOKUP(ROUND(CONCATENATE($A25,BV$2),0),'Cadastro - Padrões'!$A$2:$T$1160,BV$1,FALSE)))</f>
        <v>-</v>
      </c>
      <c r="BW25" s="16" t="str">
        <f>IF($B25="-","-",IF(VLOOKUP(ROUND(CONCATENATE($A25,BW$2),0),'Cadastro - Padrões'!$A$2:$T$1160,BW$1,FALSE)="","-",VLOOKUP(ROUND(CONCATENATE($A25,BW$2),0),'Cadastro - Padrões'!$A$2:$T$1160,BW$1,FALSE)))</f>
        <v>-</v>
      </c>
      <c r="BX25" s="16" t="str">
        <f>IF($B25="-","-",IF(VLOOKUP(ROUND(CONCATENATE($A25,BX$2),0),'Cadastro - Padrões'!$A$2:$T$1160,BX$1,FALSE)="","-",VLOOKUP(ROUND(CONCATENATE($A25,BX$2),0),'Cadastro - Padrões'!$A$2:$T$1160,BX$1,FALSE)))</f>
        <v>-</v>
      </c>
      <c r="BY25" s="16" t="str">
        <f>IF($B25="-","-",IF(VLOOKUP(ROUND(CONCATENATE($A25,BY$2),0),'Cadastro - Padrões'!$A$2:$T$1160,BY$1,FALSE)="","-",VLOOKUP(ROUND(CONCATENATE($A25,BY$2),0),'Cadastro - Padrões'!$A$2:$T$1160,BY$1,FALSE)))</f>
        <v>-</v>
      </c>
      <c r="BZ25" s="16" t="str">
        <f>IF($B25="-","-",IF(VLOOKUP(ROUND(CONCATENATE($A25,BZ$2),0),'Cadastro - Padrões'!$A$2:$T$1160,BZ$1,FALSE)="","-",VLOOKUP(ROUND(CONCATENATE($A25,BZ$2),0),'Cadastro - Padrões'!$A$2:$T$1160,BZ$1,FALSE)))</f>
        <v>-</v>
      </c>
      <c r="CA25" s="16" t="str">
        <f>IF($B25="-","-",IF(VLOOKUP(ROUND(CONCATENATE($A25,CA$2),0),'Cadastro - Padrões'!$A$2:$T$1160,CA$1,FALSE)="","-",VLOOKUP(ROUND(CONCATENATE($A25,CA$2),0),'Cadastro - Padrões'!$A$2:$T$1160,CA$1,FALSE)))</f>
        <v>-</v>
      </c>
      <c r="CB25" s="16" t="str">
        <f>IF($B25="-","-",IF(VLOOKUP(ROUND(CONCATENATE($A25,CB$2),0),'Cadastro - Padrões'!$A$2:$T$1160,CB$1,FALSE)="","-",VLOOKUP(ROUND(CONCATENATE($A25,CB$2),0),'Cadastro - Padrões'!$A$2:$T$1160,CB$1,FALSE)))</f>
        <v>-</v>
      </c>
      <c r="CC25" s="16" t="str">
        <f>IF($B25="-","-",IF(VLOOKUP(ROUND(CONCATENATE($A25,CC$2),0),'Cadastro - Padrões'!$A$2:$T$1160,CC$1,FALSE)="","-",VLOOKUP(ROUND(CONCATENATE($A25,CC$2),0),'Cadastro - Padrões'!$A$2:$T$1160,CC$1,FALSE)))</f>
        <v>-</v>
      </c>
    </row>
    <row r="26" spans="1:81" x14ac:dyDescent="0.3">
      <c r="A26" s="10">
        <v>1</v>
      </c>
      <c r="B26" s="10">
        <f>A26+1</f>
        <v>2</v>
      </c>
      <c r="C26" s="10">
        <f t="shared" ref="C26:V26" si="83">B26+1</f>
        <v>3</v>
      </c>
      <c r="D26" s="10">
        <f t="shared" si="83"/>
        <v>4</v>
      </c>
      <c r="E26" s="10">
        <f t="shared" si="83"/>
        <v>5</v>
      </c>
      <c r="F26" s="10">
        <f t="shared" si="83"/>
        <v>6</v>
      </c>
      <c r="G26" s="10">
        <f t="shared" si="83"/>
        <v>7</v>
      </c>
      <c r="H26" s="10">
        <f t="shared" si="83"/>
        <v>8</v>
      </c>
      <c r="I26" s="10">
        <f t="shared" si="83"/>
        <v>9</v>
      </c>
      <c r="J26" s="10">
        <f t="shared" si="83"/>
        <v>10</v>
      </c>
      <c r="K26" s="10">
        <f t="shared" si="83"/>
        <v>11</v>
      </c>
      <c r="L26" s="10">
        <f t="shared" si="83"/>
        <v>12</v>
      </c>
      <c r="M26" s="10">
        <f t="shared" si="83"/>
        <v>13</v>
      </c>
      <c r="N26" s="10">
        <f t="shared" si="83"/>
        <v>14</v>
      </c>
      <c r="O26" s="10">
        <f t="shared" si="83"/>
        <v>15</v>
      </c>
      <c r="P26" s="10">
        <f t="shared" si="83"/>
        <v>16</v>
      </c>
      <c r="Q26" s="10">
        <f t="shared" si="83"/>
        <v>17</v>
      </c>
      <c r="R26" s="10">
        <f t="shared" si="83"/>
        <v>18</v>
      </c>
      <c r="S26" s="10">
        <f t="shared" si="83"/>
        <v>19</v>
      </c>
      <c r="T26" s="10">
        <f t="shared" si="83"/>
        <v>20</v>
      </c>
      <c r="U26" s="10">
        <f t="shared" si="83"/>
        <v>21</v>
      </c>
      <c r="V26" s="10">
        <f t="shared" si="83"/>
        <v>22</v>
      </c>
      <c r="W26" s="10">
        <f t="shared" ref="W26:CC26" si="84">V26+1</f>
        <v>23</v>
      </c>
      <c r="X26" s="10">
        <f t="shared" si="84"/>
        <v>24</v>
      </c>
      <c r="Y26" s="10">
        <f t="shared" si="84"/>
        <v>25</v>
      </c>
      <c r="Z26" s="10">
        <f t="shared" si="84"/>
        <v>26</v>
      </c>
      <c r="AA26" s="10">
        <f t="shared" si="84"/>
        <v>27</v>
      </c>
      <c r="AB26" s="10">
        <f t="shared" si="84"/>
        <v>28</v>
      </c>
      <c r="AC26" s="10">
        <f t="shared" si="84"/>
        <v>29</v>
      </c>
      <c r="AD26" s="10">
        <f t="shared" si="84"/>
        <v>30</v>
      </c>
      <c r="AE26" s="10">
        <f t="shared" si="84"/>
        <v>31</v>
      </c>
      <c r="AF26" s="10">
        <f t="shared" si="84"/>
        <v>32</v>
      </c>
      <c r="AG26" s="10">
        <f t="shared" si="84"/>
        <v>33</v>
      </c>
      <c r="AH26" s="10">
        <f t="shared" si="84"/>
        <v>34</v>
      </c>
      <c r="AI26" s="10">
        <f t="shared" si="84"/>
        <v>35</v>
      </c>
      <c r="AJ26" s="10">
        <f t="shared" si="84"/>
        <v>36</v>
      </c>
      <c r="AK26" s="10">
        <f t="shared" si="84"/>
        <v>37</v>
      </c>
      <c r="AL26" s="10">
        <f t="shared" si="84"/>
        <v>38</v>
      </c>
      <c r="AM26" s="10">
        <f t="shared" si="84"/>
        <v>39</v>
      </c>
      <c r="AN26" s="10">
        <f t="shared" si="84"/>
        <v>40</v>
      </c>
      <c r="AO26" s="10">
        <f t="shared" si="84"/>
        <v>41</v>
      </c>
      <c r="AP26" s="10">
        <f t="shared" si="84"/>
        <v>42</v>
      </c>
      <c r="AQ26" s="10">
        <f t="shared" si="84"/>
        <v>43</v>
      </c>
      <c r="AR26" s="10">
        <f t="shared" si="84"/>
        <v>44</v>
      </c>
      <c r="AS26" s="10">
        <f t="shared" si="84"/>
        <v>45</v>
      </c>
      <c r="AT26" s="10">
        <f t="shared" si="84"/>
        <v>46</v>
      </c>
      <c r="AU26" s="10">
        <f t="shared" si="84"/>
        <v>47</v>
      </c>
      <c r="AV26" s="10">
        <f t="shared" si="84"/>
        <v>48</v>
      </c>
      <c r="AW26" s="10">
        <f t="shared" si="84"/>
        <v>49</v>
      </c>
      <c r="AX26" s="10">
        <f t="shared" si="84"/>
        <v>50</v>
      </c>
      <c r="AY26" s="10">
        <f t="shared" si="84"/>
        <v>51</v>
      </c>
      <c r="AZ26" s="10">
        <f t="shared" si="84"/>
        <v>52</v>
      </c>
      <c r="BA26" s="10">
        <f t="shared" si="84"/>
        <v>53</v>
      </c>
      <c r="BB26" s="10">
        <f t="shared" si="84"/>
        <v>54</v>
      </c>
      <c r="BC26" s="10">
        <f t="shared" si="84"/>
        <v>55</v>
      </c>
      <c r="BD26" s="10">
        <f t="shared" si="84"/>
        <v>56</v>
      </c>
      <c r="BE26" s="10">
        <f t="shared" si="84"/>
        <v>57</v>
      </c>
      <c r="BF26" s="10">
        <f t="shared" si="84"/>
        <v>58</v>
      </c>
      <c r="BG26" s="10">
        <f t="shared" si="84"/>
        <v>59</v>
      </c>
      <c r="BH26" s="10">
        <f t="shared" si="84"/>
        <v>60</v>
      </c>
      <c r="BI26" s="10">
        <f t="shared" si="84"/>
        <v>61</v>
      </c>
      <c r="BJ26" s="10">
        <f t="shared" si="84"/>
        <v>62</v>
      </c>
      <c r="BK26" s="10">
        <f t="shared" si="84"/>
        <v>63</v>
      </c>
      <c r="BL26" s="10">
        <f t="shared" si="84"/>
        <v>64</v>
      </c>
      <c r="BM26" s="10">
        <f t="shared" si="84"/>
        <v>65</v>
      </c>
      <c r="BN26" s="10">
        <f t="shared" si="84"/>
        <v>66</v>
      </c>
      <c r="BO26" s="10">
        <f t="shared" si="84"/>
        <v>67</v>
      </c>
      <c r="BP26" s="10">
        <f t="shared" si="84"/>
        <v>68</v>
      </c>
      <c r="BQ26" s="10">
        <f t="shared" si="84"/>
        <v>69</v>
      </c>
      <c r="BR26" s="10">
        <f t="shared" si="84"/>
        <v>70</v>
      </c>
      <c r="BS26" s="10">
        <f t="shared" si="84"/>
        <v>71</v>
      </c>
      <c r="BT26" s="10">
        <f t="shared" si="84"/>
        <v>72</v>
      </c>
      <c r="BU26" s="10">
        <f t="shared" si="84"/>
        <v>73</v>
      </c>
      <c r="BV26" s="10">
        <f t="shared" si="84"/>
        <v>74</v>
      </c>
      <c r="BW26" s="10">
        <f t="shared" si="84"/>
        <v>75</v>
      </c>
      <c r="BX26" s="10">
        <f t="shared" si="84"/>
        <v>76</v>
      </c>
      <c r="BY26" s="10">
        <f t="shared" si="84"/>
        <v>77</v>
      </c>
      <c r="BZ26" s="10">
        <f t="shared" si="84"/>
        <v>78</v>
      </c>
      <c r="CA26" s="10">
        <f t="shared" si="84"/>
        <v>79</v>
      </c>
      <c r="CB26" s="10">
        <f t="shared" si="84"/>
        <v>80</v>
      </c>
      <c r="CC26" s="10">
        <f t="shared" si="84"/>
        <v>81</v>
      </c>
    </row>
  </sheetData>
  <sheetProtection algorithmName="SHA-512" hashValue="2IHvgsA2Q6EMpgmO0USgdQVFp3AtAKcIck1p2KZmDoQhwzF1UfvyzM4S1Q6uVROV02nJpCQuAyS+shg5BKLakg==" saltValue="u2i02rNG8FMWDeSAvdjXRA==" spinCount="100000" sheet="1" objects="1" scenarios="1"/>
  <mergeCells count="16">
    <mergeCell ref="BN4:BQ4"/>
    <mergeCell ref="BR4:BU4"/>
    <mergeCell ref="BV4:BY4"/>
    <mergeCell ref="BZ4:CC4"/>
    <mergeCell ref="AP4:AS4"/>
    <mergeCell ref="AT4:AW4"/>
    <mergeCell ref="AX4:BA4"/>
    <mergeCell ref="BB4:BE4"/>
    <mergeCell ref="BF4:BI4"/>
    <mergeCell ref="BJ4:BM4"/>
    <mergeCell ref="AL4:AO4"/>
    <mergeCell ref="P4:U4"/>
    <mergeCell ref="V4:Y4"/>
    <mergeCell ref="Z4:AC4"/>
    <mergeCell ref="AD4:AG4"/>
    <mergeCell ref="AH4:AK4"/>
  </mergeCells>
  <conditionalFormatting sqref="H6:H25">
    <cfRule type="cellIs" dxfId="0" priority="1" operator="lessThan">
      <formula>$H$4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FD0DE-1F14-4D44-B886-03081B3E4FD6}">
  <dimension ref="A1:G83"/>
  <sheetViews>
    <sheetView workbookViewId="0">
      <pane ySplit="7" topLeftCell="A8" activePane="bottomLeft" state="frozen"/>
      <selection pane="bottomLeft" activeCell="E11" sqref="E11"/>
    </sheetView>
  </sheetViews>
  <sheetFormatPr defaultColWidth="9.109375" defaultRowHeight="14.4" x14ac:dyDescent="0.3"/>
  <cols>
    <col min="1" max="1" width="9.109375" style="35"/>
    <col min="2" max="2" width="11.88671875" style="35" customWidth="1"/>
    <col min="3" max="3" width="13.109375" style="35" bestFit="1" customWidth="1"/>
    <col min="4" max="4" width="14.33203125" style="35" bestFit="1" customWidth="1"/>
    <col min="5" max="16384" width="9.109375" style="34"/>
  </cols>
  <sheetData>
    <row r="1" spans="1:7" ht="21" x14ac:dyDescent="0.4">
      <c r="A1" s="53" t="s">
        <v>161</v>
      </c>
    </row>
    <row r="3" spans="1:7" x14ac:dyDescent="0.3">
      <c r="A3" s="81" t="s">
        <v>160</v>
      </c>
      <c r="B3" s="82"/>
      <c r="C3" s="83" t="s">
        <v>162</v>
      </c>
      <c r="D3" s="83"/>
      <c r="E3" s="83"/>
      <c r="F3" s="83"/>
      <c r="G3" s="83"/>
    </row>
    <row r="4" spans="1:7" x14ac:dyDescent="0.3">
      <c r="A4" s="81" t="s">
        <v>159</v>
      </c>
      <c r="B4" s="82"/>
      <c r="C4" s="50">
        <v>0</v>
      </c>
      <c r="D4" s="52">
        <f>B8</f>
        <v>45989</v>
      </c>
      <c r="E4" s="50" t="s">
        <v>156</v>
      </c>
      <c r="F4" s="81" t="s">
        <v>158</v>
      </c>
      <c r="G4" s="82"/>
    </row>
    <row r="5" spans="1:7" x14ac:dyDescent="0.3">
      <c r="A5" s="81" t="s">
        <v>157</v>
      </c>
      <c r="B5" s="82"/>
      <c r="C5" s="50">
        <f>MAX(A8:A82)</f>
        <v>2</v>
      </c>
      <c r="D5" s="52">
        <f>VLOOKUP(C5,A8:C82,2,FALSE)</f>
        <v>46076</v>
      </c>
      <c r="E5" s="50" t="s">
        <v>156</v>
      </c>
      <c r="F5" s="81" t="str">
        <f>VLOOKUP(C5,A8:C82,3,FALSE)</f>
        <v>Caio Cesar</v>
      </c>
      <c r="G5" s="82"/>
    </row>
    <row r="7" spans="1:7" s="49" customFormat="1" x14ac:dyDescent="0.3">
      <c r="A7" s="51" t="s">
        <v>155</v>
      </c>
      <c r="B7" s="50" t="s">
        <v>154</v>
      </c>
      <c r="C7" s="50" t="s">
        <v>153</v>
      </c>
      <c r="D7" s="50" t="s">
        <v>152</v>
      </c>
      <c r="E7" s="49" t="s">
        <v>151</v>
      </c>
    </row>
    <row r="8" spans="1:7" s="45" customFormat="1" x14ac:dyDescent="0.3">
      <c r="A8" s="48">
        <v>0</v>
      </c>
      <c r="B8" s="47">
        <v>45989</v>
      </c>
      <c r="C8" s="47" t="s">
        <v>148</v>
      </c>
      <c r="D8" s="47" t="s">
        <v>150</v>
      </c>
      <c r="E8" s="46" t="s">
        <v>149</v>
      </c>
    </row>
    <row r="9" spans="1:7" s="42" customFormat="1" x14ac:dyDescent="0.3">
      <c r="A9" s="41">
        <f>IF(E9="","",MAX($A$8:A8)+1)</f>
        <v>1</v>
      </c>
      <c r="B9" s="43">
        <v>45989</v>
      </c>
      <c r="C9" s="43" t="s">
        <v>148</v>
      </c>
      <c r="D9" s="43" t="s">
        <v>147</v>
      </c>
      <c r="E9" s="42" t="s">
        <v>163</v>
      </c>
    </row>
    <row r="10" spans="1:7" s="42" customFormat="1" x14ac:dyDescent="0.3">
      <c r="A10" s="41">
        <f>IF(E10="","",MAX($A$8:A9)+1)</f>
        <v>2</v>
      </c>
      <c r="B10" s="43">
        <v>46076</v>
      </c>
      <c r="C10" s="43" t="s">
        <v>148</v>
      </c>
      <c r="D10" s="43" t="s">
        <v>147</v>
      </c>
      <c r="E10" s="42" t="s">
        <v>168</v>
      </c>
    </row>
    <row r="11" spans="1:7" s="42" customFormat="1" x14ac:dyDescent="0.3">
      <c r="A11" s="41" t="str">
        <f>IF(E11="","",MAX($A$8:A10)+1)</f>
        <v/>
      </c>
      <c r="B11" s="43"/>
      <c r="C11" s="43"/>
      <c r="D11" s="43"/>
    </row>
    <row r="12" spans="1:7" s="42" customFormat="1" x14ac:dyDescent="0.3">
      <c r="A12" s="41" t="str">
        <f>IF(E12="","",MAX($A$8:A11)+1)</f>
        <v/>
      </c>
      <c r="B12" s="43"/>
      <c r="C12" s="43"/>
      <c r="D12" s="43"/>
    </row>
    <row r="13" spans="1:7" s="42" customFormat="1" x14ac:dyDescent="0.3">
      <c r="A13" s="41" t="str">
        <f>IF(E13="","",MAX($A$8:A12)+1)</f>
        <v/>
      </c>
      <c r="B13" s="43"/>
      <c r="C13" s="43"/>
      <c r="D13" s="43"/>
    </row>
    <row r="14" spans="1:7" s="42" customFormat="1" x14ac:dyDescent="0.3">
      <c r="A14" s="41" t="str">
        <f>IF(E14="","",MAX($A$8:A13)+1)</f>
        <v/>
      </c>
      <c r="B14" s="43"/>
      <c r="C14" s="43"/>
      <c r="D14" s="43"/>
    </row>
    <row r="15" spans="1:7" s="42" customFormat="1" x14ac:dyDescent="0.3">
      <c r="A15" s="41" t="str">
        <f>IF(E15="","",MAX($A$8:A14)+1)</f>
        <v/>
      </c>
      <c r="B15" s="43"/>
      <c r="C15" s="43"/>
      <c r="D15" s="43"/>
    </row>
    <row r="16" spans="1:7" s="42" customFormat="1" x14ac:dyDescent="0.3">
      <c r="A16" s="41" t="str">
        <f>IF(E16="","",MAX($A$8:A15)+1)</f>
        <v/>
      </c>
      <c r="B16" s="43"/>
      <c r="C16" s="43"/>
      <c r="D16" s="43"/>
    </row>
    <row r="17" spans="1:4" s="42" customFormat="1" x14ac:dyDescent="0.3">
      <c r="A17" s="41" t="str">
        <f>IF(E17="","",MAX($A$8:A16)+1)</f>
        <v/>
      </c>
      <c r="B17" s="43"/>
      <c r="C17" s="43"/>
      <c r="D17" s="43"/>
    </row>
    <row r="18" spans="1:4" s="42" customFormat="1" x14ac:dyDescent="0.3">
      <c r="A18" s="41" t="str">
        <f>IF(E18="","",MAX($A$8:A17)+1)</f>
        <v/>
      </c>
      <c r="B18" s="43"/>
      <c r="C18" s="43"/>
      <c r="D18" s="43"/>
    </row>
    <row r="19" spans="1:4" s="42" customFormat="1" x14ac:dyDescent="0.3">
      <c r="A19" s="41" t="str">
        <f>IF(E19="","",MAX($A$8:A18)+1)</f>
        <v/>
      </c>
      <c r="B19" s="43"/>
      <c r="C19" s="43"/>
      <c r="D19" s="43"/>
    </row>
    <row r="20" spans="1:4" s="42" customFormat="1" x14ac:dyDescent="0.3">
      <c r="A20" s="41" t="str">
        <f>IF(E20="","",MAX($A$8:A19)+1)</f>
        <v/>
      </c>
      <c r="B20" s="43"/>
      <c r="C20" s="43"/>
      <c r="D20" s="43"/>
    </row>
    <row r="21" spans="1:4" s="42" customFormat="1" x14ac:dyDescent="0.3">
      <c r="A21" s="41" t="str">
        <f>IF(E21="","",MAX($A$8:A20)+1)</f>
        <v/>
      </c>
      <c r="B21" s="43"/>
      <c r="C21" s="43"/>
      <c r="D21" s="43"/>
    </row>
    <row r="22" spans="1:4" s="42" customFormat="1" x14ac:dyDescent="0.3">
      <c r="A22" s="41" t="str">
        <f>IF(E22="","",MAX($A$8:A21)+1)</f>
        <v/>
      </c>
      <c r="B22" s="43"/>
      <c r="C22" s="43"/>
      <c r="D22" s="43"/>
    </row>
    <row r="23" spans="1:4" s="42" customFormat="1" x14ac:dyDescent="0.3">
      <c r="A23" s="41" t="str">
        <f>IF(E23="","",MAX($A$8:A22)+1)</f>
        <v/>
      </c>
      <c r="B23" s="43"/>
      <c r="C23" s="43"/>
      <c r="D23" s="43"/>
    </row>
    <row r="24" spans="1:4" s="42" customFormat="1" x14ac:dyDescent="0.3">
      <c r="A24" s="41" t="str">
        <f>IF(E24="","",MAX($A$8:A23)+1)</f>
        <v/>
      </c>
      <c r="B24" s="43"/>
      <c r="C24" s="43"/>
      <c r="D24" s="43"/>
    </row>
    <row r="25" spans="1:4" s="42" customFormat="1" x14ac:dyDescent="0.3">
      <c r="A25" s="41" t="str">
        <f>IF(E25="","",MAX($A$8:A24)+1)</f>
        <v/>
      </c>
      <c r="B25" s="43"/>
      <c r="C25" s="43"/>
      <c r="D25" s="43"/>
    </row>
    <row r="26" spans="1:4" s="42" customFormat="1" x14ac:dyDescent="0.3">
      <c r="A26" s="41" t="str">
        <f>IF(E26="","",MAX($A$8:A25)+1)</f>
        <v/>
      </c>
      <c r="B26" s="43"/>
      <c r="C26" s="43"/>
      <c r="D26" s="43"/>
    </row>
    <row r="27" spans="1:4" s="42" customFormat="1" x14ac:dyDescent="0.3">
      <c r="A27" s="41" t="str">
        <f>IF(E27="","",MAX($A$8:A26)+1)</f>
        <v/>
      </c>
      <c r="B27" s="43"/>
      <c r="C27" s="43"/>
      <c r="D27" s="43"/>
    </row>
    <row r="28" spans="1:4" s="42" customFormat="1" x14ac:dyDescent="0.3">
      <c r="A28" s="41" t="str">
        <f>IF(E28="","",MAX($A$8:A27)+1)</f>
        <v/>
      </c>
      <c r="B28" s="43"/>
      <c r="C28" s="43"/>
      <c r="D28" s="43"/>
    </row>
    <row r="29" spans="1:4" s="42" customFormat="1" x14ac:dyDescent="0.3">
      <c r="A29" s="41" t="str">
        <f>IF(E29="","",MAX($A$8:A28)+1)</f>
        <v/>
      </c>
      <c r="B29" s="43"/>
      <c r="C29" s="43"/>
      <c r="D29" s="43"/>
    </row>
    <row r="30" spans="1:4" s="42" customFormat="1" x14ac:dyDescent="0.3">
      <c r="A30" s="41" t="str">
        <f>IF(E30="","",MAX($A$8:A29)+1)</f>
        <v/>
      </c>
      <c r="B30" s="43"/>
      <c r="C30" s="43"/>
      <c r="D30" s="43"/>
    </row>
    <row r="31" spans="1:4" s="42" customFormat="1" x14ac:dyDescent="0.3">
      <c r="A31" s="41" t="str">
        <f>IF(E31="","",MAX($A$8:A30)+1)</f>
        <v/>
      </c>
      <c r="B31" s="43"/>
      <c r="C31" s="43"/>
      <c r="D31" s="43"/>
    </row>
    <row r="32" spans="1:4" s="42" customFormat="1" x14ac:dyDescent="0.3">
      <c r="A32" s="41" t="str">
        <f>IF(E32="","",MAX($A$8:A31)+1)</f>
        <v/>
      </c>
      <c r="B32" s="43"/>
      <c r="C32" s="43"/>
      <c r="D32" s="43"/>
    </row>
    <row r="33" spans="1:4" s="42" customFormat="1" x14ac:dyDescent="0.3">
      <c r="A33" s="41" t="str">
        <f>IF(E33="","",MAX($A$8:A32)+1)</f>
        <v/>
      </c>
      <c r="B33" s="43"/>
      <c r="C33" s="43"/>
      <c r="D33" s="43"/>
    </row>
    <row r="34" spans="1:4" s="42" customFormat="1" x14ac:dyDescent="0.3">
      <c r="A34" s="41" t="str">
        <f>IF(E34="","",MAX($A$8:A33)+1)</f>
        <v/>
      </c>
      <c r="B34" s="43"/>
      <c r="C34" s="43"/>
      <c r="D34" s="43"/>
    </row>
    <row r="35" spans="1:4" s="42" customFormat="1" x14ac:dyDescent="0.3">
      <c r="A35" s="41" t="str">
        <f>IF(E35="","",MAX($A$8:A34)+1)</f>
        <v/>
      </c>
      <c r="B35" s="43"/>
      <c r="C35" s="43"/>
      <c r="D35" s="43"/>
    </row>
    <row r="36" spans="1:4" s="42" customFormat="1" x14ac:dyDescent="0.3">
      <c r="A36" s="41" t="str">
        <f>IF(E36="","",MAX($A$8:A35)+1)</f>
        <v/>
      </c>
      <c r="B36" s="43"/>
      <c r="C36" s="43"/>
      <c r="D36" s="44"/>
    </row>
    <row r="37" spans="1:4" s="42" customFormat="1" x14ac:dyDescent="0.3">
      <c r="A37" s="41" t="str">
        <f>IF(E37="","",MAX($A$8:A36)+1)</f>
        <v/>
      </c>
      <c r="B37" s="43"/>
      <c r="C37" s="43"/>
      <c r="D37" s="43"/>
    </row>
    <row r="38" spans="1:4" s="42" customFormat="1" x14ac:dyDescent="0.3">
      <c r="A38" s="41" t="str">
        <f>IF(E38="","",MAX($A$8:A37)+1)</f>
        <v/>
      </c>
      <c r="B38" s="43"/>
      <c r="C38" s="43"/>
      <c r="D38" s="43"/>
    </row>
    <row r="39" spans="1:4" s="42" customFormat="1" x14ac:dyDescent="0.3">
      <c r="A39" s="41" t="str">
        <f>IF(E39="","",MAX($A$8:A38)+1)</f>
        <v/>
      </c>
      <c r="B39" s="43"/>
      <c r="C39" s="43"/>
      <c r="D39" s="43"/>
    </row>
    <row r="40" spans="1:4" s="42" customFormat="1" x14ac:dyDescent="0.3">
      <c r="A40" s="41" t="str">
        <f>IF(E40="","",MAX($A$8:A39)+1)</f>
        <v/>
      </c>
      <c r="B40" s="43"/>
      <c r="C40" s="43"/>
      <c r="D40" s="43"/>
    </row>
    <row r="41" spans="1:4" s="42" customFormat="1" x14ac:dyDescent="0.3">
      <c r="A41" s="41" t="str">
        <f>IF(E41="","",MAX($A$8:A40)+1)</f>
        <v/>
      </c>
      <c r="B41" s="43"/>
      <c r="C41" s="43"/>
      <c r="D41" s="43"/>
    </row>
    <row r="42" spans="1:4" s="42" customFormat="1" x14ac:dyDescent="0.3">
      <c r="A42" s="41" t="str">
        <f>IF(E42="","",MAX($A$8:A41)+1)</f>
        <v/>
      </c>
      <c r="B42" s="43"/>
      <c r="C42" s="43"/>
      <c r="D42" s="43"/>
    </row>
    <row r="43" spans="1:4" s="42" customFormat="1" x14ac:dyDescent="0.3">
      <c r="A43" s="41" t="str">
        <f>IF(E43="","",MAX($A$8:A42)+1)</f>
        <v/>
      </c>
      <c r="B43" s="43"/>
      <c r="C43" s="43"/>
      <c r="D43" s="43"/>
    </row>
    <row r="44" spans="1:4" s="42" customFormat="1" x14ac:dyDescent="0.3">
      <c r="A44" s="41" t="str">
        <f>IF(E44="","",MAX($A$8:A43)+1)</f>
        <v/>
      </c>
      <c r="B44" s="43"/>
      <c r="C44" s="43"/>
      <c r="D44" s="43"/>
    </row>
    <row r="45" spans="1:4" s="42" customFormat="1" x14ac:dyDescent="0.3">
      <c r="A45" s="41" t="str">
        <f>IF(E45="","",MAX($A$8:A44)+1)</f>
        <v/>
      </c>
      <c r="B45" s="43"/>
      <c r="C45" s="43"/>
      <c r="D45" s="43"/>
    </row>
    <row r="46" spans="1:4" s="42" customFormat="1" x14ac:dyDescent="0.3">
      <c r="A46" s="41" t="str">
        <f>IF(E46="","",MAX($A$8:A45)+1)</f>
        <v/>
      </c>
      <c r="B46" s="43"/>
      <c r="C46" s="43"/>
      <c r="D46" s="43"/>
    </row>
    <row r="47" spans="1:4" s="42" customFormat="1" x14ac:dyDescent="0.3">
      <c r="A47" s="41" t="str">
        <f>IF(E47="","",MAX($A$8:A46)+1)</f>
        <v/>
      </c>
      <c r="B47" s="43"/>
      <c r="C47" s="43"/>
      <c r="D47" s="43"/>
    </row>
    <row r="48" spans="1:4" s="42" customFormat="1" x14ac:dyDescent="0.3">
      <c r="A48" s="41" t="str">
        <f>IF(E48="","",MAX($A$8:A47)+1)</f>
        <v/>
      </c>
      <c r="B48" s="43"/>
      <c r="C48" s="43"/>
      <c r="D48" s="43"/>
    </row>
    <row r="49" spans="1:4" s="42" customFormat="1" x14ac:dyDescent="0.3">
      <c r="A49" s="41" t="str">
        <f>IF(E49="","",MAX($A$8:A48)+1)</f>
        <v/>
      </c>
      <c r="B49" s="43"/>
      <c r="C49" s="43"/>
      <c r="D49" s="43"/>
    </row>
    <row r="50" spans="1:4" s="42" customFormat="1" x14ac:dyDescent="0.3">
      <c r="A50" s="41" t="str">
        <f>IF(E50="","",MAX($A$8:A49)+1)</f>
        <v/>
      </c>
      <c r="B50" s="43"/>
      <c r="C50" s="43"/>
      <c r="D50" s="43"/>
    </row>
    <row r="51" spans="1:4" s="42" customFormat="1" x14ac:dyDescent="0.3">
      <c r="A51" s="41" t="str">
        <f>IF(E51="","",MAX($A$8:A50)+1)</f>
        <v/>
      </c>
      <c r="B51" s="43"/>
      <c r="C51" s="43"/>
      <c r="D51" s="43"/>
    </row>
    <row r="52" spans="1:4" s="42" customFormat="1" x14ac:dyDescent="0.3">
      <c r="A52" s="41" t="str">
        <f>IF(E52="","",MAX($A$8:A51)+1)</f>
        <v/>
      </c>
      <c r="B52" s="43"/>
      <c r="C52" s="43"/>
      <c r="D52" s="43"/>
    </row>
    <row r="53" spans="1:4" s="42" customFormat="1" x14ac:dyDescent="0.3">
      <c r="A53" s="41" t="str">
        <f>IF(E53="","",MAX($A$8:A52)+1)</f>
        <v/>
      </c>
      <c r="B53" s="43"/>
      <c r="C53" s="43"/>
      <c r="D53" s="43"/>
    </row>
    <row r="54" spans="1:4" s="42" customFormat="1" x14ac:dyDescent="0.3">
      <c r="A54" s="41" t="str">
        <f>IF(E54="","",MAX($A$8:A53)+1)</f>
        <v/>
      </c>
      <c r="B54" s="43"/>
      <c r="C54" s="43"/>
      <c r="D54" s="43"/>
    </row>
    <row r="55" spans="1:4" s="42" customFormat="1" x14ac:dyDescent="0.3">
      <c r="A55" s="41" t="str">
        <f>IF(E55="","",MAX($A$8:A54)+1)</f>
        <v/>
      </c>
      <c r="B55" s="43"/>
      <c r="C55" s="43"/>
      <c r="D55" s="43"/>
    </row>
    <row r="56" spans="1:4" s="42" customFormat="1" x14ac:dyDescent="0.3">
      <c r="A56" s="41" t="str">
        <f>IF(E56="","",MAX($A$8:A55)+1)</f>
        <v/>
      </c>
      <c r="B56" s="43"/>
      <c r="C56" s="43"/>
      <c r="D56" s="43"/>
    </row>
    <row r="57" spans="1:4" s="42" customFormat="1" x14ac:dyDescent="0.3">
      <c r="A57" s="41" t="str">
        <f>IF(E57="","",MAX($A$8:A56)+1)</f>
        <v/>
      </c>
      <c r="B57" s="43"/>
      <c r="C57" s="43"/>
      <c r="D57" s="43"/>
    </row>
    <row r="58" spans="1:4" s="42" customFormat="1" x14ac:dyDescent="0.3">
      <c r="A58" s="41" t="str">
        <f>IF(E58="","",MAX($A$8:A57)+1)</f>
        <v/>
      </c>
      <c r="B58" s="43"/>
      <c r="C58" s="43"/>
      <c r="D58" s="43"/>
    </row>
    <row r="59" spans="1:4" s="42" customFormat="1" x14ac:dyDescent="0.3">
      <c r="A59" s="41" t="str">
        <f>IF(E59="","",MAX($A$8:A58)+1)</f>
        <v/>
      </c>
      <c r="B59" s="43"/>
      <c r="C59" s="43"/>
      <c r="D59" s="43"/>
    </row>
    <row r="60" spans="1:4" s="42" customFormat="1" x14ac:dyDescent="0.3">
      <c r="A60" s="41" t="str">
        <f>IF(E60="","",MAX($A$8:A59)+1)</f>
        <v/>
      </c>
      <c r="B60" s="43"/>
      <c r="C60" s="43"/>
      <c r="D60" s="43"/>
    </row>
    <row r="61" spans="1:4" s="42" customFormat="1" x14ac:dyDescent="0.3">
      <c r="A61" s="41" t="str">
        <f>IF(E61="","",MAX($A$8:A60)+1)</f>
        <v/>
      </c>
      <c r="B61" s="43"/>
      <c r="C61" s="43"/>
      <c r="D61" s="43"/>
    </row>
    <row r="62" spans="1:4" s="42" customFormat="1" x14ac:dyDescent="0.3">
      <c r="A62" s="41" t="str">
        <f>IF(E62="","",MAX($A$8:A61)+1)</f>
        <v/>
      </c>
      <c r="B62" s="43"/>
      <c r="C62" s="43"/>
      <c r="D62" s="43"/>
    </row>
    <row r="63" spans="1:4" s="42" customFormat="1" x14ac:dyDescent="0.3">
      <c r="A63" s="41" t="str">
        <f>IF(E63="","",MAX($A$8:A62)+1)</f>
        <v/>
      </c>
      <c r="B63" s="43"/>
      <c r="C63" s="43"/>
      <c r="D63" s="43"/>
    </row>
    <row r="64" spans="1:4" s="42" customFormat="1" x14ac:dyDescent="0.3">
      <c r="A64" s="41" t="str">
        <f>IF(E64="","",MAX($A$8:A63)+1)</f>
        <v/>
      </c>
      <c r="B64" s="43"/>
      <c r="C64" s="43"/>
      <c r="D64" s="43"/>
    </row>
    <row r="65" spans="1:4" s="42" customFormat="1" x14ac:dyDescent="0.3">
      <c r="A65" s="41" t="str">
        <f>IF(E65="","",MAX($A$8:A64)+1)</f>
        <v/>
      </c>
      <c r="B65" s="43"/>
      <c r="C65" s="43"/>
      <c r="D65" s="43"/>
    </row>
    <row r="66" spans="1:4" s="42" customFormat="1" x14ac:dyDescent="0.3">
      <c r="A66" s="41" t="str">
        <f>IF(E66="","",MAX($A$8:A65)+1)</f>
        <v/>
      </c>
      <c r="B66" s="43"/>
      <c r="C66" s="43"/>
      <c r="D66" s="43"/>
    </row>
    <row r="67" spans="1:4" s="42" customFormat="1" x14ac:dyDescent="0.3">
      <c r="A67" s="41" t="str">
        <f>IF(E67="","",MAX($A$8:A66)+1)</f>
        <v/>
      </c>
      <c r="B67" s="43"/>
      <c r="C67" s="43"/>
      <c r="D67" s="43"/>
    </row>
    <row r="68" spans="1:4" s="42" customFormat="1" x14ac:dyDescent="0.3">
      <c r="A68" s="41" t="str">
        <f>IF(E68="","",MAX($A$8:A67)+1)</f>
        <v/>
      </c>
      <c r="B68" s="43"/>
      <c r="C68" s="43"/>
      <c r="D68" s="43"/>
    </row>
    <row r="69" spans="1:4" s="42" customFormat="1" x14ac:dyDescent="0.3">
      <c r="A69" s="41" t="str">
        <f>IF(E69="","",MAX($A$8:A68)+1)</f>
        <v/>
      </c>
      <c r="B69" s="43"/>
      <c r="C69" s="43"/>
      <c r="D69" s="43"/>
    </row>
    <row r="70" spans="1:4" s="42" customFormat="1" x14ac:dyDescent="0.3">
      <c r="A70" s="41" t="str">
        <f>IF(E70="","",MAX($A$8:A69)+1)</f>
        <v/>
      </c>
      <c r="B70" s="43"/>
      <c r="C70" s="43"/>
      <c r="D70" s="43"/>
    </row>
    <row r="71" spans="1:4" s="42" customFormat="1" x14ac:dyDescent="0.3">
      <c r="A71" s="41" t="str">
        <f>IF(E71="","",MAX($A$8:A70)+1)</f>
        <v/>
      </c>
      <c r="B71" s="43"/>
      <c r="C71" s="43"/>
      <c r="D71" s="43"/>
    </row>
    <row r="72" spans="1:4" s="42" customFormat="1" x14ac:dyDescent="0.3">
      <c r="A72" s="41" t="str">
        <f>IF(E72="","",MAX($A$8:A71)+1)</f>
        <v/>
      </c>
      <c r="B72" s="43"/>
      <c r="C72" s="43"/>
      <c r="D72" s="43"/>
    </row>
    <row r="73" spans="1:4" s="42" customFormat="1" x14ac:dyDescent="0.3">
      <c r="A73" s="41" t="str">
        <f>IF(E73="","",MAX($A$8:A72)+1)</f>
        <v/>
      </c>
      <c r="B73" s="43"/>
      <c r="C73" s="43"/>
      <c r="D73" s="43"/>
    </row>
    <row r="74" spans="1:4" s="42" customFormat="1" x14ac:dyDescent="0.3">
      <c r="A74" s="41" t="str">
        <f>IF(E74="","",MAX($A$8:A73)+1)</f>
        <v/>
      </c>
      <c r="B74" s="43"/>
      <c r="C74" s="43"/>
      <c r="D74" s="43"/>
    </row>
    <row r="75" spans="1:4" s="42" customFormat="1" x14ac:dyDescent="0.3">
      <c r="A75" s="41" t="str">
        <f>IF(E75="","",MAX($A$8:A74)+1)</f>
        <v/>
      </c>
      <c r="B75" s="43"/>
      <c r="C75" s="43"/>
      <c r="D75" s="43"/>
    </row>
    <row r="76" spans="1:4" s="42" customFormat="1" x14ac:dyDescent="0.3">
      <c r="A76" s="41" t="str">
        <f>IF(E76="","",MAX($A$8:A75)+1)</f>
        <v/>
      </c>
      <c r="B76" s="43"/>
      <c r="C76" s="43"/>
      <c r="D76" s="43"/>
    </row>
    <row r="77" spans="1:4" s="42" customFormat="1" x14ac:dyDescent="0.3">
      <c r="A77" s="41" t="str">
        <f>IF(E77="","",MAX($A$8:A76)+1)</f>
        <v/>
      </c>
      <c r="B77" s="43"/>
      <c r="C77" s="43"/>
      <c r="D77" s="43"/>
    </row>
    <row r="78" spans="1:4" s="42" customFormat="1" x14ac:dyDescent="0.3">
      <c r="A78" s="41" t="str">
        <f>IF(E78="","",MAX($A$8:A77)+1)</f>
        <v/>
      </c>
      <c r="B78" s="43"/>
      <c r="C78" s="43"/>
      <c r="D78" s="43"/>
    </row>
    <row r="79" spans="1:4" s="42" customFormat="1" x14ac:dyDescent="0.3">
      <c r="A79" s="41" t="str">
        <f>IF(E79="","",MAX($A$8:A78)+1)</f>
        <v/>
      </c>
      <c r="B79" s="43"/>
      <c r="C79" s="43"/>
      <c r="D79" s="43"/>
    </row>
    <row r="80" spans="1:4" s="42" customFormat="1" x14ac:dyDescent="0.3">
      <c r="A80" s="41" t="str">
        <f>IF(E80="","",MAX($A$8:A79)+1)</f>
        <v/>
      </c>
      <c r="B80" s="43"/>
      <c r="C80" s="43"/>
      <c r="D80" s="43"/>
    </row>
    <row r="81" spans="1:4" s="42" customFormat="1" x14ac:dyDescent="0.3">
      <c r="A81" s="41" t="str">
        <f>IF(E81="","",MAX($A$8:A80)+1)</f>
        <v/>
      </c>
      <c r="B81" s="43"/>
      <c r="C81" s="43"/>
      <c r="D81" s="43"/>
    </row>
    <row r="82" spans="1:4" s="38" customFormat="1" x14ac:dyDescent="0.3">
      <c r="A82" s="41" t="str">
        <f>IF(E82="","",MAX($A$8:A81)+1)</f>
        <v/>
      </c>
      <c r="B82" s="40"/>
      <c r="C82" s="39"/>
      <c r="D82" s="39"/>
    </row>
    <row r="83" spans="1:4" s="36" customFormat="1" x14ac:dyDescent="0.3">
      <c r="A83" s="37"/>
      <c r="B83" s="37"/>
      <c r="C83" s="37"/>
      <c r="D83" s="37"/>
    </row>
  </sheetData>
  <sheetProtection sheet="1" objects="1" scenarios="1"/>
  <mergeCells count="6">
    <mergeCell ref="A3:B3"/>
    <mergeCell ref="C3:G3"/>
    <mergeCell ref="A4:B4"/>
    <mergeCell ref="F4:G4"/>
    <mergeCell ref="A5:B5"/>
    <mergeCell ref="F5:G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Cadastro - Padrões</vt:lpstr>
      <vt:lpstr>Controle</vt:lpstr>
      <vt:lpstr>Histórico de revisões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Silva</dc:creator>
  <cp:lastModifiedBy>Caio Silva</cp:lastModifiedBy>
  <dcterms:created xsi:type="dcterms:W3CDTF">2016-06-16T11:10:04Z</dcterms:created>
  <dcterms:modified xsi:type="dcterms:W3CDTF">2026-02-23T13:52:07Z</dcterms:modified>
</cp:coreProperties>
</file>